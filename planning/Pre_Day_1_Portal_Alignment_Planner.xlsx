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ortal Map" sheetId="2" state="visible" r:id="rId2"/>
    <sheet xmlns:r="http://schemas.openxmlformats.org/officeDocument/2006/relationships" name="Alignment &amp; Gaps" sheetId="3" state="visible" r:id="rId3"/>
    <sheet xmlns:r="http://schemas.openxmlformats.org/officeDocument/2006/relationships" name="Pre-Day 1 Documents" sheetId="4" state="visible" r:id="rId4"/>
    <sheet xmlns:r="http://schemas.openxmlformats.org/officeDocument/2006/relationships" name="Consideration (next)" sheetId="5" state="visible" r:id="rId5"/>
  </sheets>
  <definedNames>
    <definedName name="_xlnm._FilterDatabase" localSheetId="1" hidden="1">'Portal Map'!$A$4:$N$179</definedName>
    <definedName name="_xlnm._FilterDatabase" localSheetId="2" hidden="1">'Alignment &amp; Gaps'!$A$4:$K$29</definedName>
    <definedName name="_xlnm._FilterDatabase" localSheetId="3" hidden="1">'Pre-Day 1 Documents'!$A$4:$H$22</definedName>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2F3541"/>
      <sz val="16"/>
    </font>
    <font>
      <name val="Arial"/>
      <color rgb="005A657B"/>
      <sz val="10"/>
    </font>
    <font>
      <name val="Arial"/>
      <b val="1"/>
      <color rgb="002F3541"/>
      <sz val="9"/>
    </font>
    <font>
      <name val="Arial"/>
      <color rgb="005A657B"/>
      <sz val="9"/>
    </font>
    <font>
      <name val="Arial"/>
      <b val="1"/>
      <color rgb="00FFFFFF"/>
      <sz val="10"/>
    </font>
    <font>
      <name val="Arial"/>
      <b val="1"/>
      <color rgb="002F3541"/>
      <sz val="15"/>
    </font>
    <font>
      <name val="Arial"/>
      <color rgb="005A657B"/>
      <sz val="9.5"/>
    </font>
    <font>
      <name val="Arial"/>
      <b val="1"/>
      <color rgb="00FFFFFF"/>
      <sz val="9"/>
    </font>
    <font>
      <name val="Arial"/>
      <sz val="9"/>
    </font>
    <font>
      <name val="Arial"/>
      <b val="1"/>
      <color rgb="005A657B"/>
      <sz val="9"/>
    </font>
    <font>
      <name val="Arial"/>
      <b val="1"/>
      <color rgb="002A8346"/>
      <sz val="9"/>
    </font>
    <font>
      <name val="Arial"/>
      <b val="1"/>
      <color rgb="0000737A"/>
      <sz val="9"/>
    </font>
    <font>
      <name val="Arial"/>
      <b val="1"/>
      <color rgb="008A5A00"/>
      <sz val="9"/>
    </font>
    <font>
      <name val="Arial"/>
      <b val="1"/>
      <color rgb="00AD050C"/>
      <sz val="9"/>
    </font>
    <font>
      <name val="Arial"/>
      <b val="1"/>
      <color rgb="002F3541"/>
      <sz val="10"/>
    </font>
    <font>
      <name val="Arial"/>
      <b val="1"/>
      <color rgb="0000408C"/>
      <sz val="9"/>
    </font>
    <font>
      <name val="Arial"/>
      <b val="1"/>
      <color rgb="00411980"/>
      <sz val="9"/>
    </font>
    <font>
      <name val="Arial"/>
      <color rgb="002A8346"/>
      <sz val="9"/>
    </font>
    <font>
      <name val="Arial"/>
      <color rgb="00AD050C"/>
      <sz val="9"/>
    </font>
    <font>
      <name val="Arial"/>
      <color rgb="008A5A00"/>
      <sz val="9"/>
    </font>
  </fonts>
  <fills count="11">
    <fill>
      <patternFill/>
    </fill>
    <fill>
      <patternFill patternType="gray125"/>
    </fill>
    <fill>
      <patternFill patternType="solid">
        <fgColor rgb="002F3541"/>
      </patternFill>
    </fill>
    <fill>
      <patternFill patternType="solid">
        <fgColor rgb="00E1E3E7"/>
      </patternFill>
    </fill>
    <fill>
      <patternFill patternType="solid">
        <fgColor rgb="00F2F3F4"/>
      </patternFill>
    </fill>
    <fill>
      <patternFill patternType="solid">
        <fgColor rgb="00DFFBE5"/>
      </patternFill>
    </fill>
    <fill>
      <patternFill patternType="solid">
        <fgColor rgb="00C7FDFF"/>
      </patternFill>
    </fill>
    <fill>
      <patternFill patternType="solid">
        <fgColor rgb="00FFF1CC"/>
      </patternFill>
    </fill>
    <fill>
      <patternFill patternType="solid">
        <fgColor rgb="00FFEBEE"/>
      </patternFill>
    </fill>
    <fill>
      <patternFill patternType="solid">
        <fgColor rgb="00E9DBFF"/>
      </patternFill>
    </fill>
    <fill>
      <patternFill patternType="solid">
        <fgColor rgb="00CCE3FF"/>
      </patternFill>
    </fill>
  </fills>
  <borders count="2">
    <border>
      <left/>
      <right/>
      <top/>
      <bottom/>
      <diagonal/>
    </border>
    <border>
      <left style="thin">
        <color rgb="00E1E3E7"/>
      </left>
      <right style="thin">
        <color rgb="00E1E3E7"/>
      </right>
      <top style="thin">
        <color rgb="00E1E3E7"/>
      </top>
      <bottom style="thin">
        <color rgb="00E1E3E7"/>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top" wrapText="1"/>
    </xf>
    <xf numFmtId="0" fontId="0" fillId="2"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8" fillId="2" borderId="1" applyAlignment="1" pivotButton="0" quotePrefix="0" xfId="0">
      <alignment vertical="center" wrapText="1"/>
    </xf>
    <xf numFmtId="0" fontId="9" fillId="0" borderId="1" applyAlignment="1" pivotButton="0" quotePrefix="0" xfId="0">
      <alignment vertical="top" wrapText="1"/>
    </xf>
    <xf numFmtId="0" fontId="10" fillId="3" borderId="1" applyAlignment="1" pivotButton="0" quotePrefix="0" xfId="0">
      <alignment vertical="top" wrapText="1"/>
    </xf>
    <xf numFmtId="0" fontId="9" fillId="4" borderId="1" applyAlignment="1" pivotButton="0" quotePrefix="0" xfId="0">
      <alignment vertical="top" wrapText="1"/>
    </xf>
    <xf numFmtId="0" fontId="11" fillId="5" borderId="1" applyAlignment="1" pivotButton="0" quotePrefix="0" xfId="0">
      <alignment vertical="top" wrapText="1"/>
    </xf>
    <xf numFmtId="0" fontId="12" fillId="6" borderId="1" applyAlignment="1" pivotButton="0" quotePrefix="0" xfId="0">
      <alignment vertical="top" wrapText="1"/>
    </xf>
    <xf numFmtId="0" fontId="13" fillId="7" borderId="1" applyAlignment="1" pivotButton="0" quotePrefix="0" xfId="0">
      <alignment vertical="top" wrapText="1"/>
    </xf>
    <xf numFmtId="0" fontId="14" fillId="8" borderId="1" applyAlignment="1" pivotButton="0" quotePrefix="0" xfId="0">
      <alignment vertical="top" wrapText="1"/>
    </xf>
    <xf numFmtId="0" fontId="15" fillId="0" borderId="0" pivotButton="0" quotePrefix="0" xfId="0"/>
    <xf numFmtId="0" fontId="4" fillId="0" borderId="0" pivotButton="0" quotePrefix="0" xfId="0"/>
    <xf numFmtId="0" fontId="16" fillId="0" borderId="0" pivotButton="0" quotePrefix="0" xfId="0"/>
    <xf numFmtId="0" fontId="18" fillId="5" borderId="1" applyAlignment="1" pivotButton="0" quotePrefix="0" xfId="0">
      <alignment vertical="top" wrapText="1"/>
    </xf>
    <xf numFmtId="0" fontId="4" fillId="4" borderId="1" applyAlignment="1" pivotButton="0" quotePrefix="0" xfId="0">
      <alignment vertical="top" wrapText="1"/>
    </xf>
    <xf numFmtId="0" fontId="19" fillId="8" borderId="1" applyAlignment="1" pivotButton="0" quotePrefix="0" xfId="0">
      <alignment vertical="top" wrapText="1"/>
    </xf>
    <xf numFmtId="0" fontId="16" fillId="10" borderId="1" applyAlignment="1" pivotButton="0" quotePrefix="0" xfId="0">
      <alignment vertical="top" wrapText="1"/>
    </xf>
    <xf numFmtId="0" fontId="17" fillId="9" borderId="1" applyAlignment="1" pivotButton="0" quotePrefix="0" xfId="0">
      <alignment vertical="top" wrapText="1"/>
    </xf>
    <xf numFmtId="0" fontId="20"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pane ySplit="3" topLeftCell="A4" activePane="bottomLeft" state="frozen"/>
      <selection pane="bottomLeft" activeCell="A1" sqref="A1"/>
    </sheetView>
  </sheetViews>
  <sheetFormatPr baseColWidth="8" defaultRowHeight="15"/>
  <cols>
    <col width="34" customWidth="1" min="1" max="1"/>
    <col width="118" customWidth="1" min="2" max="2"/>
  </cols>
  <sheetData>
    <row r="1">
      <c r="A1" s="1" t="inlineStr">
        <is>
          <t>Pre-Day 1 Portal — Alignment Planner</t>
        </is>
      </c>
    </row>
    <row r="2">
      <c r="A2" s="2" t="inlineStr">
        <is>
          <t>Maps the built prototypes against every source we hold, and states what is aligned, what closed, and what is still open.</t>
        </is>
      </c>
    </row>
    <row r="4">
      <c r="A4" s="3" t="inlineStr"/>
      <c r="B4" s="4" t="inlineStr"/>
    </row>
    <row r="5">
      <c r="A5" s="5" t="inlineStr">
        <is>
          <t>WHAT THIS IS</t>
        </is>
      </c>
      <c r="B5" s="6" t="inlineStr"/>
    </row>
    <row r="6">
      <c r="A6" s="3" t="inlineStr">
        <is>
          <t>Purpose</t>
        </is>
      </c>
      <c r="B6" s="4" t="inlineStr">
        <is>
          <t>One place to see what the New Hire and Hiring Manager portal mockups actually contain, field by field, and how each part stands against the specifications, the future-state workflow, the commonality analysis and what Workday serves today. Built so the next conversation is about decisions, not about finding things.</t>
        </is>
      </c>
    </row>
    <row r="7">
      <c r="A7" s="3" t="inlineStr">
        <is>
          <t>Counts</t>
        </is>
      </c>
      <c r="B7" s="4" t="inlineStr">
        <is>
          <t>Every COUNT row in this workbook is a live formula, so the numbers stay right if you add or re-verdict rows. They calculate when you open the file.</t>
        </is>
      </c>
    </row>
    <row r="8">
      <c r="A8" s="3" t="inlineStr">
        <is>
          <t>What it is not</t>
        </is>
      </c>
      <c r="B8" s="4" t="inlineStr">
        <is>
          <t>Not a build spec and not an approved design. The mockups are a gap-finding tool; this planner is the audit of what they found.</t>
        </is>
      </c>
    </row>
    <row r="9">
      <c r="A9" s="3" t="inlineStr">
        <is>
          <t>Scope</t>
        </is>
      </c>
      <c r="B9" s="4" t="inlineStr">
        <is>
          <t>Pre-Day 1 only, two personas. People Experience is named throughout as an audience but has no screens and no UI spec available here — logged as G-19.</t>
        </is>
      </c>
    </row>
    <row r="10">
      <c r="A10" s="3" t="inlineStr"/>
      <c r="B10" s="4" t="inlineStr"/>
    </row>
    <row r="11">
      <c r="A11" s="5" t="inlineStr">
        <is>
          <t>HOW TO READ THE TABS</t>
        </is>
      </c>
      <c r="B11" s="6" t="inlineStr"/>
    </row>
    <row r="12">
      <c r="A12" s="3" t="inlineStr">
        <is>
          <t>Portal Map</t>
        </is>
      </c>
      <c r="B12" s="4" t="inlineStr">
        <is>
          <t>Every screen, tab, section and field in the mockups, both sides, after the gap-closing pass. Use the Status column to see where each element stands, and the Connects to column to see which elements cross between the two portals.</t>
        </is>
      </c>
    </row>
    <row r="13">
      <c r="A13" s="3" t="inlineStr">
        <is>
          <t>Alignment &amp; Gaps</t>
        </is>
      </c>
      <c r="B13" s="4" t="inlineStr">
        <is>
          <t>The comparison. One row per finding, with what the mockup does, what the source says, a verdict, the action, and what the mockups were changed to do about it. Sort by Priority to get the working list.</t>
        </is>
      </c>
    </row>
    <row r="14">
      <c r="A14" s="3" t="inlineStr">
        <is>
          <t>Pre-Day 1 Documents</t>
        </is>
      </c>
      <c r="B14" s="4" t="inlineStr">
        <is>
          <t>What we ask new hires to read and sign today, from the live Workday business process, mapped against the intended future treatment and against what the mockup shows. This is where the largest single gap sits.</t>
        </is>
      </c>
    </row>
    <row r="15">
      <c r="A15" s="3" t="inlineStr">
        <is>
          <t>Consideration (next)</t>
        </is>
      </c>
      <c r="B15" s="4" t="inlineStr">
        <is>
          <t>Not built yet. Reserved for knitting in the handbook guide and the Inside Equinix content — see G-09, which now has a sourced answer to build from.</t>
        </is>
      </c>
    </row>
    <row r="16">
      <c r="A16" s="3" t="inlineStr"/>
      <c r="B16" s="4" t="inlineStr"/>
    </row>
    <row r="17">
      <c r="A17" s="5" t="inlineStr">
        <is>
          <t>VERDICTS USED</t>
        </is>
      </c>
      <c r="B17" s="6" t="inlineStr"/>
    </row>
    <row r="18">
      <c r="A18" s="3" t="inlineStr">
        <is>
          <t>ALIGNED</t>
        </is>
      </c>
      <c r="B18" s="4" t="inlineStr">
        <is>
          <t>The mockup and the source agree. No action beyond monitoring.</t>
        </is>
      </c>
    </row>
    <row r="19">
      <c r="A19" s="3" t="inlineStr">
        <is>
          <t>GAP CLOSED</t>
        </is>
      </c>
      <c r="B19" s="4" t="inlineStr">
        <is>
          <t>A question the mockup had marked as an assumption now has a sourced answer. The mockup may still need to change to match it.</t>
        </is>
      </c>
    </row>
    <row r="20">
      <c r="A20" s="3" t="inlineStr">
        <is>
          <t>GAP OPEN</t>
        </is>
      </c>
      <c r="B20" s="4" t="inlineStr">
        <is>
          <t>Still unresolved, and someone has to decide.</t>
        </is>
      </c>
    </row>
    <row r="21">
      <c r="A21" s="3" t="inlineStr">
        <is>
          <t>CONFLICT</t>
        </is>
      </c>
      <c r="B21" s="4" t="inlineStr">
        <is>
          <t>Two or more sources disagree with each other. These are the most expensive to leave alone, because both readings are currently being built towards.</t>
        </is>
      </c>
    </row>
    <row r="22">
      <c r="A22" s="3" t="inlineStr">
        <is>
          <t>SUPERSEDED</t>
        </is>
      </c>
      <c r="B22" s="4" t="inlineStr">
        <is>
          <t>The mockup's position is out of date and should be replaced.</t>
        </is>
      </c>
    </row>
    <row r="23">
      <c r="A23" s="3" t="inlineStr">
        <is>
          <t>NEW REQUIREMENT</t>
        </is>
      </c>
      <c r="B23" s="4" t="inlineStr">
        <is>
          <t>Arrived in a source after the mockup was built and is not represented yet.</t>
        </is>
      </c>
    </row>
    <row r="24">
      <c r="A24" s="3" t="inlineStr"/>
      <c r="B24" s="4" t="inlineStr"/>
    </row>
    <row r="25">
      <c r="A25" s="5" t="inlineStr">
        <is>
          <t>PRIORITY</t>
        </is>
      </c>
      <c r="B25" s="6" t="inlineStr"/>
    </row>
    <row r="26">
      <c r="A26" s="3" t="inlineStr">
        <is>
          <t>1 — Blocks build</t>
        </is>
      </c>
      <c r="B26" s="4" t="inlineStr">
        <is>
          <t>A developer cannot proceed past this. Five rows.</t>
        </is>
      </c>
    </row>
    <row r="27">
      <c r="A27" s="3" t="inlineStr">
        <is>
          <t>2 — Build now</t>
        </is>
      </c>
      <c r="B27" s="4" t="inlineStr">
        <is>
          <t>Answerable now, and the mockup should change once answered.</t>
        </is>
      </c>
    </row>
    <row r="28">
      <c r="A28" s="3" t="inlineStr">
        <is>
          <t>3 — Content</t>
        </is>
      </c>
      <c r="B28" s="4" t="inlineStr">
        <is>
          <t>The mechanism is right; someone needs to supply real text or values.</t>
        </is>
      </c>
    </row>
    <row r="29">
      <c r="A29" s="3" t="inlineStr">
        <is>
          <t>4 — Monitor</t>
        </is>
      </c>
      <c r="B29" s="4" t="inlineStr">
        <is>
          <t>Aligned today; worth re-checking if a source moves.</t>
        </is>
      </c>
    </row>
    <row r="30">
      <c r="A30" s="3" t="inlineStr"/>
      <c r="B30" s="4" t="inlineStr"/>
    </row>
    <row r="31">
      <c r="A31" s="5" t="inlineStr">
        <is>
          <t>SOURCES USED</t>
        </is>
      </c>
      <c r="B31" s="6" t="inlineStr"/>
    </row>
    <row r="32">
      <c r="A32" s="3" t="inlineStr">
        <is>
          <t>Built artifacts</t>
        </is>
      </c>
      <c r="B32" s="4" t="inlineStr">
        <is>
          <t>New Hire portal mockup (v3) and Hiring Manager portal mockup (v3), sharing one state so cross-portal handoffs are real. 82-entry assumption register: 50 new hire, 21 manager, 11 connection, 2 retired. Eleven cross-portal handoffs.</t>
        </is>
      </c>
    </row>
    <row r="33">
      <c r="A33" s="3" t="inlineStr">
        <is>
          <t>Specifications</t>
        </is>
      </c>
      <c r="B33" s="4" t="inlineStr">
        <is>
          <t>Pre_Day_1_Task_UI_Spec.xlsx (New Hire) · HM_Pre_Day_1_Portal_UI_Spec.xlsx (Hiring Manager). No PEX equivalent available.</t>
        </is>
      </c>
    </row>
    <row r="34">
      <c r="A34" s="3" t="inlineStr">
        <is>
          <t>Requirements</t>
        </is>
      </c>
      <c r="B34" s="4" t="inlineStr">
        <is>
          <t>Equinix_Onboarding_Reimagined_PRD v1.3 and v1.4. v1.4 is the operative version and adds the corporate card flow, the Data Protection Policy language rule, the Payroll/ADP universal form, the proxy requirement and the Inside Equinix carousel.</t>
        </is>
      </c>
    </row>
    <row r="35">
      <c r="A35" s="3" t="inlineStr">
        <is>
          <t>Future state</t>
        </is>
      </c>
      <c r="B35" s="4" t="inlineStr">
        <is>
          <t>Onboarding_Portal_Future_State_Workflow_Template_v3 (Clean Day1) — Pre-Day 1, All Tasks, Key Principles, Decision Log.</t>
        </is>
      </c>
    </row>
    <row r="36">
      <c r="A36" s="3" t="inlineStr">
        <is>
          <t>Commonality</t>
        </is>
      </c>
      <c r="B36" s="4" t="inlineStr">
        <is>
          <t>Onboarding_Artifacts_Commonality_Workbook — Categorization Guide, Design Logic Tracker, Handbook Analysis, Artifact Inventory.</t>
        </is>
      </c>
    </row>
    <row r="37">
      <c r="A37" s="3" t="inlineStr">
        <is>
          <t>Current state</t>
        </is>
      </c>
      <c r="B37" s="4" t="inlineStr">
        <is>
          <t>CR_PC_Onboarding_Workflow_Documents — the live Workday business process document list. 146 rows, 416 document instances, 357 unique titles.</t>
        </is>
      </c>
    </row>
    <row r="38">
      <c r="A38" s="3" t="inlineStr">
        <is>
          <t>Supporting</t>
        </is>
      </c>
      <c r="B38" s="4" t="inlineStr">
        <is>
          <t>Global DPN pack (20 languages) · Credit Card Employee User Agreement · Hiring Manager Checklist (One Legal, 2019) · Buddy Program deck · Equipment provisioning deck · Onboarding Workday capability deck · Global New Hire Swag.</t>
        </is>
      </c>
    </row>
    <row r="39">
      <c r="A39" s="3" t="inlineStr"/>
      <c r="B39" s="4" t="inlineStr"/>
    </row>
    <row r="40">
      <c r="A40" s="5" t="inlineStr">
        <is>
          <t>THE FIVE THINGS THAT MATTER MOST</t>
        </is>
      </c>
      <c r="B40" s="6" t="inlineStr"/>
    </row>
    <row r="41">
      <c r="A41" s="3" t="inlineStr">
        <is>
          <t>1</t>
        </is>
      </c>
      <c r="B41" s="4" t="inlineStr">
        <is>
          <t>The compliance pack is far larger than the mockup shows. Six global-core documents on screen; 416 document instances in the live process, with a 28-document bundle for every US hire and ~57 for Poland. (G-01, G-24, G-25)</t>
        </is>
      </c>
    </row>
    <row r="42">
      <c r="A42" s="3" t="inlineStr">
        <is>
          <t>2</t>
        </is>
      </c>
      <c r="B42" s="4" t="inlineStr">
        <is>
          <t>Document language is derived from country, not chosen by the employee. The mockup has this the wrong way round. (G-02)</t>
        </is>
      </c>
    </row>
    <row r="43">
      <c r="A43" s="3" t="inlineStr">
        <is>
          <t>3</t>
        </is>
      </c>
      <c r="B43" s="4" t="inlineStr">
        <is>
          <t>The corporate card is now fully specified and should be built — manager yes/no pre-start, new hire e-signature on Day 2. (G-06)</t>
        </is>
      </c>
    </row>
    <row r="44">
      <c r="A44" s="3" t="inlineStr">
        <is>
          <t>4</t>
        </is>
      </c>
      <c r="B44" s="4" t="inlineStr">
        <is>
          <t>Two things built as net-new — the suggested network and the welcome note — may already exist as native platform capability. Re-cost before building. (G-12, G-13)</t>
        </is>
      </c>
    </row>
    <row r="45">
      <c r="A45" s="3" t="inlineStr">
        <is>
          <t>5</t>
        </is>
      </c>
      <c r="B45" s="4" t="inlineStr">
        <is>
          <t>Two required new hire tasks are missing from the mockup entirely: confirm start date, and launching the background check. (G-21, G-22)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8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3" customWidth="1" min="1" max="1"/>
    <col width="10" customWidth="1" min="2" max="2"/>
    <col width="26" customWidth="1" min="3" max="3"/>
    <col width="15" customWidth="1" min="4" max="4"/>
    <col width="17" customWidth="1" min="5" max="5"/>
    <col width="34" customWidth="1" min="6" max="6"/>
    <col width="15" customWidth="1" min="7" max="7"/>
    <col width="11" customWidth="1" min="8" max="8"/>
    <col width="20" customWidth="1" min="9" max="9"/>
    <col width="44" customWidth="1" min="10" max="10"/>
    <col width="20" customWidth="1" min="11" max="11"/>
    <col width="11" customWidth="1" min="12" max="12"/>
    <col width="20" customWidth="1" min="13" max="13"/>
    <col width="20" customWidth="1" min="14" max="14"/>
  </cols>
  <sheetData>
    <row r="1">
      <c r="A1" s="7" t="inlineStr">
        <is>
          <t>Portal Map — every screen, tab and field in the mockups</t>
        </is>
      </c>
    </row>
    <row r="2" ht="30" customHeight="1">
      <c r="A2" s="8" t="inlineStr">
        <is>
          <t>Both portals as built. 'Connects to' names the element on the other side that the same underlying fact drives — those are the handoffs. 'Status' is the position against the sources; the reasoning for anything not Aligned is on the Alignment &amp; Gaps tab.</t>
        </is>
      </c>
    </row>
    <row r="4" ht="30" customHeight="1">
      <c r="A4" s="9" t="inlineStr">
        <is>
          <t>Side</t>
        </is>
      </c>
      <c r="B4" s="9" t="inlineStr">
        <is>
          <t>Screen ID</t>
        </is>
      </c>
      <c r="C4" s="9" t="inlineStr">
        <is>
          <t>Screen</t>
        </is>
      </c>
      <c r="D4" s="9" t="inlineStr">
        <is>
          <t>Route</t>
        </is>
      </c>
      <c r="E4" s="9" t="inlineStr">
        <is>
          <t>Section / Tab</t>
        </is>
      </c>
      <c r="F4" s="9" t="inlineStr">
        <is>
          <t>Field or element</t>
        </is>
      </c>
      <c r="G4" s="9" t="inlineStr">
        <is>
          <t>Type</t>
        </is>
      </c>
      <c r="H4" s="9" t="inlineStr">
        <is>
          <t>Required</t>
        </is>
      </c>
      <c r="I4" s="9" t="inlineStr">
        <is>
          <t>Prefill / source</t>
        </is>
      </c>
      <c r="J4" s="9" t="inlineStr">
        <is>
          <t>Behaviour &amp; conditional logic</t>
        </is>
      </c>
      <c r="K4" s="9" t="inlineStr">
        <is>
          <t>Connects to (other portal)</t>
        </is>
      </c>
      <c r="L4" s="9" t="inlineStr">
        <is>
          <t>Assumption</t>
        </is>
      </c>
      <c r="M4" s="9" t="inlineStr">
        <is>
          <t>Spec reference</t>
        </is>
      </c>
      <c r="N4" s="9" t="inlineStr">
        <is>
          <t>Status</t>
        </is>
      </c>
    </row>
    <row r="5">
      <c r="A5" s="10" t="inlineStr">
        <is>
          <t>New hire</t>
        </is>
      </c>
      <c r="B5" s="10" t="inlineStr">
        <is>
          <t>P-00</t>
        </is>
      </c>
      <c r="C5" s="10" t="inlineStr">
        <is>
          <t>Portal landing / task list</t>
        </is>
      </c>
      <c r="D5" s="10" t="inlineStr">
        <is>
          <t>#/</t>
        </is>
      </c>
      <c r="E5" s="10" t="inlineStr">
        <is>
          <t>Frame</t>
        </is>
      </c>
      <c r="F5" s="10" t="inlineStr">
        <is>
          <t>Prototype ribbon + 'Viewing as' switch</t>
        </is>
      </c>
      <c r="G5" s="10" t="inlineStr">
        <is>
          <t>Display</t>
        </is>
      </c>
      <c r="H5" s="10" t="inlineStr">
        <is>
          <t>n/a</t>
        </is>
      </c>
      <c r="I5" s="10" t="inlineStr">
        <is>
          <t>—</t>
        </is>
      </c>
      <c r="J5" s="10" t="inlineStr">
        <is>
          <t>Persistent honesty marker. The side switch is a prototype device, not product UI.</t>
        </is>
      </c>
      <c r="K5" s="10" t="inlineStr">
        <is>
          <t>Both sides</t>
        </is>
      </c>
      <c r="L5" s="10" t="inlineStr">
        <is>
          <t>A-28</t>
        </is>
      </c>
      <c r="M5" s="10" t="inlineStr">
        <is>
          <t>NH Pages P-00</t>
        </is>
      </c>
      <c r="N5" s="11" t="inlineStr">
        <is>
          <t>Mockup only</t>
        </is>
      </c>
    </row>
    <row r="6">
      <c r="A6" s="12" t="inlineStr">
        <is>
          <t>New hire</t>
        </is>
      </c>
      <c r="B6" s="12" t="inlineStr">
        <is>
          <t>P-00</t>
        </is>
      </c>
      <c r="C6" s="12" t="inlineStr">
        <is>
          <t>Portal landing / task list</t>
        </is>
      </c>
      <c r="D6" s="12" t="inlineStr">
        <is>
          <t>#/</t>
        </is>
      </c>
      <c r="E6" s="12" t="inlineStr">
        <is>
          <t>Frame</t>
        </is>
      </c>
      <c r="F6" s="12" t="inlineStr">
        <is>
          <t>Header: preferred name, start date, days remaining</t>
        </is>
      </c>
      <c r="G6" s="12" t="inlineStr">
        <is>
          <t>Display</t>
        </is>
      </c>
      <c r="H6" s="12" t="inlineStr">
        <is>
          <t>n/a</t>
        </is>
      </c>
      <c r="I6" s="12" t="inlineStr">
        <is>
          <t>Workday</t>
        </is>
      </c>
      <c r="J6" s="12" t="inlineStr">
        <is>
          <t>Countdown recalculates from start date.</t>
        </is>
      </c>
      <c r="K6" s="12" t="inlineStr">
        <is>
          <t>—</t>
        </is>
      </c>
      <c r="L6" s="12" t="inlineStr">
        <is>
          <t>A-45</t>
        </is>
      </c>
      <c r="M6" s="12" t="inlineStr">
        <is>
          <t>NH Fields P-00.3</t>
        </is>
      </c>
      <c r="N6" s="13" t="inlineStr">
        <is>
          <t>Aligned</t>
        </is>
      </c>
    </row>
    <row r="7">
      <c r="A7" s="10" t="inlineStr">
        <is>
          <t>New hire</t>
        </is>
      </c>
      <c r="B7" s="10" t="inlineStr">
        <is>
          <t>P-00</t>
        </is>
      </c>
      <c r="C7" s="10" t="inlineStr">
        <is>
          <t>Portal landing / task list</t>
        </is>
      </c>
      <c r="D7" s="10" t="inlineStr">
        <is>
          <t>#/</t>
        </is>
      </c>
      <c r="E7" s="10" t="inlineStr">
        <is>
          <t>Welcome</t>
        </is>
      </c>
      <c r="F7" s="10" t="inlineStr">
        <is>
          <t>Note from the hiring manager</t>
        </is>
      </c>
      <c r="G7" s="10" t="inlineStr">
        <is>
          <t>Display</t>
        </is>
      </c>
      <c r="H7" s="10" t="inlineStr">
        <is>
          <t>No</t>
        </is>
      </c>
      <c r="I7" s="10" t="inlineStr">
        <is>
          <t>HM welcome task</t>
        </is>
      </c>
      <c r="J7" s="10" t="inlineStr">
        <is>
          <t>Appears only after the manager sends it. Shows their personal line.</t>
        </is>
      </c>
      <c r="K7" s="10" t="inlineStr">
        <is>
          <t>HM H-10</t>
        </is>
      </c>
      <c r="L7" s="10" t="inlineStr">
        <is>
          <t>L-08</t>
        </is>
      </c>
      <c r="M7" s="10" t="inlineStr">
        <is>
          <t>PRD v1.4 (HM personalised message)</t>
        </is>
      </c>
      <c r="N7" s="14" t="inlineStr">
        <is>
          <t>Gap closed</t>
        </is>
      </c>
    </row>
    <row r="8">
      <c r="A8" s="12" t="inlineStr">
        <is>
          <t>New hire</t>
        </is>
      </c>
      <c r="B8" s="12" t="inlineStr">
        <is>
          <t>P-00</t>
        </is>
      </c>
      <c r="C8" s="12" t="inlineStr">
        <is>
          <t>Portal landing / task list</t>
        </is>
      </c>
      <c r="D8" s="12" t="inlineStr">
        <is>
          <t>#/</t>
        </is>
      </c>
      <c r="E8" s="12" t="inlineStr">
        <is>
          <t>Progress</t>
        </is>
      </c>
      <c r="F8" s="12" t="inlineStr">
        <is>
          <t>Tasks complete out of tasks assigned</t>
        </is>
      </c>
      <c r="G8" s="12" t="inlineStr">
        <is>
          <t>Display</t>
        </is>
      </c>
      <c r="H8" s="12" t="inlineStr">
        <is>
          <t>n/a</t>
        </is>
      </c>
      <c r="I8" s="12" t="inlineStr">
        <is>
          <t>Computed</t>
        </is>
      </c>
      <c r="J8" s="12" t="inlineStr">
        <is>
          <t>Counts the 5 required tasks only; optional items excluded.</t>
        </is>
      </c>
      <c r="K8" s="12" t="inlineStr">
        <is>
          <t>—</t>
        </is>
      </c>
      <c r="L8" s="12" t="inlineStr">
        <is>
          <t>A-25</t>
        </is>
      </c>
      <c r="M8" s="12" t="inlineStr">
        <is>
          <t>NH Fields P-00.1</t>
        </is>
      </c>
      <c r="N8" s="13" t="inlineStr">
        <is>
          <t>Aligned</t>
        </is>
      </c>
    </row>
    <row r="9">
      <c r="A9" s="10" t="inlineStr">
        <is>
          <t>New hire</t>
        </is>
      </c>
      <c r="B9" s="10" t="inlineStr">
        <is>
          <t>P-00</t>
        </is>
      </c>
      <c r="C9" s="10" t="inlineStr">
        <is>
          <t>Portal landing / task list</t>
        </is>
      </c>
      <c r="D9" s="10" t="inlineStr">
        <is>
          <t>#/</t>
        </is>
      </c>
      <c r="E9" s="10" t="inlineStr">
        <is>
          <t>Progress</t>
        </is>
      </c>
      <c r="F9" s="10" t="inlineStr">
        <is>
          <t>Five-phase strip (Get ready → first month)</t>
        </is>
      </c>
      <c r="G9" s="10" t="inlineStr">
        <is>
          <t>Display</t>
        </is>
      </c>
      <c r="H9" s="10" t="inlineStr">
        <is>
          <t>n/a</t>
        </is>
      </c>
      <c r="I9" s="10" t="inlineStr">
        <is>
          <t>Live portal naming</t>
        </is>
      </c>
      <c r="J9" s="10" t="inlineStr">
        <is>
          <t>Phase 1 active pre-Day 1; strip continues past Day 1 so the list has an end.</t>
        </is>
      </c>
      <c r="K9" s="10" t="inlineStr">
        <is>
          <t>—</t>
        </is>
      </c>
      <c r="L9" s="10" t="inlineStr">
        <is>
          <t>A-44</t>
        </is>
      </c>
      <c r="M9" s="10" t="inlineStr">
        <is>
          <t>Live UAT portal</t>
        </is>
      </c>
      <c r="N9" s="14" t="inlineStr">
        <is>
          <t>Gap closed</t>
        </is>
      </c>
    </row>
    <row r="10">
      <c r="A10" s="12" t="inlineStr">
        <is>
          <t>New hire</t>
        </is>
      </c>
      <c r="B10" s="12" t="inlineStr">
        <is>
          <t>P-00</t>
        </is>
      </c>
      <c r="C10" s="12" t="inlineStr">
        <is>
          <t>Portal landing / task list</t>
        </is>
      </c>
      <c r="D10" s="12" t="inlineStr">
        <is>
          <t>#/</t>
        </is>
      </c>
      <c r="E10" s="12" t="inlineStr">
        <is>
          <t>Do these now</t>
        </is>
      </c>
      <c r="F10" s="12" t="inlineStr">
        <is>
          <t>Card: Choose your workspace accessories</t>
        </is>
      </c>
      <c r="G10" s="12" t="inlineStr">
        <is>
          <t>Task card</t>
        </is>
      </c>
      <c r="H10" s="12" t="inlineStr">
        <is>
          <t>Required</t>
        </is>
      </c>
      <c r="I10" s="12" t="inlineStr">
        <is>
          <t>—</t>
        </is>
      </c>
      <c r="J10" s="12" t="inlineStr">
        <is>
          <t>Earliest of the provisioning tasks. No gate exists today.</t>
        </is>
      </c>
      <c r="K10" s="12" t="inlineStr">
        <is>
          <t>HM H-04 status</t>
        </is>
      </c>
      <c r="L10" s="12" t="inlineStr">
        <is>
          <t>A-33</t>
        </is>
      </c>
      <c r="M10" s="12" t="inlineStr">
        <is>
          <t>Future State Seq 9</t>
        </is>
      </c>
      <c r="N10" s="14" t="inlineStr">
        <is>
          <t>Gap closed</t>
        </is>
      </c>
    </row>
    <row r="11">
      <c r="A11" s="10" t="inlineStr">
        <is>
          <t>New hire</t>
        </is>
      </c>
      <c r="B11" s="10" t="inlineStr">
        <is>
          <t>P-00</t>
        </is>
      </c>
      <c r="C11" s="10" t="inlineStr">
        <is>
          <t>Portal landing / task list</t>
        </is>
      </c>
      <c r="D11" s="10" t="inlineStr">
        <is>
          <t>#/</t>
        </is>
      </c>
      <c r="E11" s="10" t="inlineStr">
        <is>
          <t>Do these now</t>
        </is>
      </c>
      <c r="F11" s="10" t="inlineStr">
        <is>
          <t>Card: Your personal and contact details</t>
        </is>
      </c>
      <c r="G11" s="10" t="inlineStr">
        <is>
          <t>Task card</t>
        </is>
      </c>
      <c r="H11" s="10" t="inlineStr">
        <is>
          <t>Required</t>
        </is>
      </c>
      <c r="I11" s="10" t="inlineStr">
        <is>
          <t>—</t>
        </is>
      </c>
      <c r="J11" s="10" t="inlineStr">
        <is>
          <t>Opens the 3-tab wizard.</t>
        </is>
      </c>
      <c r="K11" s="10" t="inlineStr">
        <is>
          <t>HM H-00 progress</t>
        </is>
      </c>
      <c r="L11" s="10" t="inlineStr">
        <is>
          <t>A-10</t>
        </is>
      </c>
      <c r="M11" s="10" t="inlineStr">
        <is>
          <t>NH P-01</t>
        </is>
      </c>
      <c r="N11" s="15" t="inlineStr">
        <is>
          <t>Open — see Alignment G-07</t>
        </is>
      </c>
    </row>
    <row r="12">
      <c r="A12" s="12" t="inlineStr">
        <is>
          <t>New hire</t>
        </is>
      </c>
      <c r="B12" s="12" t="inlineStr">
        <is>
          <t>P-00</t>
        </is>
      </c>
      <c r="C12" s="12" t="inlineStr">
        <is>
          <t>Portal landing / task list</t>
        </is>
      </c>
      <c r="D12" s="12" t="inlineStr">
        <is>
          <t>#/</t>
        </is>
      </c>
      <c r="E12" s="12" t="inlineStr">
        <is>
          <t>Do these now</t>
        </is>
      </c>
      <c r="F12" s="12" t="inlineStr">
        <is>
          <t>Card: Review your job description</t>
        </is>
      </c>
      <c r="G12" s="12" t="inlineStr">
        <is>
          <t>Task card</t>
        </is>
      </c>
      <c r="H12" s="12" t="inlineStr">
        <is>
          <t>Required</t>
        </is>
      </c>
      <c r="I12" s="12" t="inlineStr">
        <is>
          <t>—</t>
        </is>
      </c>
      <c r="J12" s="12" t="inlineStr">
        <is>
          <t>Confirm or dissent.</t>
        </is>
      </c>
      <c r="K12" s="12" t="inlineStr">
        <is>
          <t>HM H-00 progress</t>
        </is>
      </c>
      <c r="L12" s="12" t="inlineStr">
        <is>
          <t>A-22</t>
        </is>
      </c>
      <c r="M12" s="12" t="inlineStr">
        <is>
          <t>NH P-02</t>
        </is>
      </c>
      <c r="N12" s="13" t="inlineStr">
        <is>
          <t>Aligned</t>
        </is>
      </c>
    </row>
    <row r="13">
      <c r="A13" s="10" t="inlineStr">
        <is>
          <t>New hire</t>
        </is>
      </c>
      <c r="B13" s="10" t="inlineStr">
        <is>
          <t>P-00</t>
        </is>
      </c>
      <c r="C13" s="10" t="inlineStr">
        <is>
          <t>Portal landing / task list</t>
        </is>
      </c>
      <c r="D13" s="10" t="inlineStr">
        <is>
          <t>#/</t>
        </is>
      </c>
      <c r="E13" s="10" t="inlineStr">
        <is>
          <t>Do these now</t>
        </is>
      </c>
      <c r="F13" s="10" t="inlineStr">
        <is>
          <t>Card: Introduce yourself and add your photo</t>
        </is>
      </c>
      <c r="G13" s="10" t="inlineStr">
        <is>
          <t>Task card</t>
        </is>
      </c>
      <c r="H13" s="10" t="inlineStr">
        <is>
          <t>Recommended</t>
        </is>
      </c>
      <c r="I13" s="10" t="inlineStr">
        <is>
          <t>—</t>
        </is>
      </c>
      <c r="J13" s="10" t="inlineStr">
        <is>
          <t>Two independent completions on one card.</t>
        </is>
      </c>
      <c r="K13" s="10" t="inlineStr">
        <is>
          <t>HM forward task</t>
        </is>
      </c>
      <c r="L13" s="10" t="inlineStr">
        <is>
          <t>A-16</t>
        </is>
      </c>
      <c r="M13" s="10" t="inlineStr">
        <is>
          <t>NH P-03/P-04</t>
        </is>
      </c>
      <c r="N13" s="13" t="inlineStr">
        <is>
          <t>Aligned</t>
        </is>
      </c>
    </row>
    <row r="14">
      <c r="A14" s="12" t="inlineStr">
        <is>
          <t>New hire</t>
        </is>
      </c>
      <c r="B14" s="12" t="inlineStr">
        <is>
          <t>P-00</t>
        </is>
      </c>
      <c r="C14" s="12" t="inlineStr">
        <is>
          <t>Portal landing / task list</t>
        </is>
      </c>
      <c r="D14" s="12" t="inlineStr">
        <is>
          <t>#/</t>
        </is>
      </c>
      <c r="E14" s="12" t="inlineStr">
        <is>
          <t>Do these now</t>
        </is>
      </c>
      <c r="F14" s="12" t="inlineStr">
        <is>
          <t>Card: Policies and privacy notices</t>
        </is>
      </c>
      <c r="G14" s="12" t="inlineStr">
        <is>
          <t>Task card</t>
        </is>
      </c>
      <c r="H14" s="12" t="inlineStr">
        <is>
          <t>Required</t>
        </is>
      </c>
      <c r="I14" s="12" t="inlineStr">
        <is>
          <t>—</t>
        </is>
      </c>
      <c r="J14" s="12" t="inlineStr">
        <is>
          <t>Per-document acknowledgement, single submit.</t>
        </is>
      </c>
      <c r="K14" s="12" t="inlineStr">
        <is>
          <t>HM H-00 progress</t>
        </is>
      </c>
      <c r="L14" s="12" t="inlineStr">
        <is>
          <t>A-19</t>
        </is>
      </c>
      <c r="M14" s="12" t="inlineStr">
        <is>
          <t>NH P-05</t>
        </is>
      </c>
      <c r="N14" s="15" t="inlineStr">
        <is>
          <t>Open — see Alignment G-01</t>
        </is>
      </c>
    </row>
    <row r="15">
      <c r="A15" s="10" t="inlineStr">
        <is>
          <t>New hire</t>
        </is>
      </c>
      <c r="B15" s="10" t="inlineStr">
        <is>
          <t>P-00</t>
        </is>
      </c>
      <c r="C15" s="10" t="inlineStr">
        <is>
          <t>Portal landing / task list</t>
        </is>
      </c>
      <c r="D15" s="10" t="inlineStr">
        <is>
          <t>#/</t>
        </is>
      </c>
      <c r="E15" s="10" t="inlineStr">
        <is>
          <t>Do these now</t>
        </is>
      </c>
      <c r="F15" s="10" t="inlineStr">
        <is>
          <t>Card: Meet your suggested network (optional)</t>
        </is>
      </c>
      <c r="G15" s="10" t="inlineStr">
        <is>
          <t>Task card</t>
        </is>
      </c>
      <c r="H15" s="10" t="inlineStr">
        <is>
          <t>Optional</t>
        </is>
      </c>
      <c r="I15" s="10" t="inlineStr">
        <is>
          <t>HM network task</t>
        </is>
      </c>
      <c r="J15" s="10" t="inlineStr">
        <is>
          <t>Shows 'Waiting on your manager' until they name people. No due date.</t>
        </is>
      </c>
      <c r="K15" s="10" t="inlineStr">
        <is>
          <t>HM H-11</t>
        </is>
      </c>
      <c r="L15" s="10" t="inlineStr">
        <is>
          <t>A-43 / L-06</t>
        </is>
      </c>
      <c r="M15" s="10" t="inlineStr">
        <is>
          <t>HM H-11</t>
        </is>
      </c>
      <c r="N15" s="15" t="inlineStr">
        <is>
          <t>Open — see Alignment G-12</t>
        </is>
      </c>
    </row>
    <row r="16">
      <c r="A16" s="12" t="inlineStr">
        <is>
          <t>New hire</t>
        </is>
      </c>
      <c r="B16" s="12" t="inlineStr">
        <is>
          <t>P-00</t>
        </is>
      </c>
      <c r="C16" s="12" t="inlineStr">
        <is>
          <t>Portal landing / task list</t>
        </is>
      </c>
      <c r="D16" s="12" t="inlineStr">
        <is>
          <t>#/</t>
        </is>
      </c>
      <c r="E16" s="12" t="inlineStr">
        <is>
          <t>Also open now</t>
        </is>
      </c>
      <c r="F16" s="12" t="inlineStr">
        <is>
          <t>Right to work documents</t>
        </is>
      </c>
      <c r="G16" s="12" t="inlineStr">
        <is>
          <t>Linked card</t>
        </is>
      </c>
      <c r="H16" s="12" t="inlineStr">
        <is>
          <t>Conditional</t>
        </is>
      </c>
      <c r="I16" s="12" t="inlineStr">
        <is>
          <t>—</t>
        </is>
      </c>
      <c r="J16" s="12" t="inlineStr">
        <is>
          <t>Available now, completed in its own system. Not counted in progress.</t>
        </is>
      </c>
      <c r="K16" s="12" t="inlineStr">
        <is>
          <t>—</t>
        </is>
      </c>
      <c r="L16" s="12" t="inlineStr">
        <is>
          <t>—</t>
        </is>
      </c>
      <c r="M16" s="12" t="inlineStr">
        <is>
          <t>Future State Seq 11</t>
        </is>
      </c>
      <c r="N16" s="13" t="inlineStr">
        <is>
          <t>Aligned</t>
        </is>
      </c>
    </row>
    <row r="17">
      <c r="A17" s="10" t="inlineStr">
        <is>
          <t>New hire</t>
        </is>
      </c>
      <c r="B17" s="10" t="inlineStr">
        <is>
          <t>P-00</t>
        </is>
      </c>
      <c r="C17" s="10" t="inlineStr">
        <is>
          <t>Portal landing / task list</t>
        </is>
      </c>
      <c r="D17" s="10" t="inlineStr">
        <is>
          <t>#/</t>
        </is>
      </c>
      <c r="E17" s="10" t="inlineStr">
        <is>
          <t>Also open now</t>
        </is>
      </c>
      <c r="F17" s="10" t="inlineStr">
        <is>
          <t>Medical check (Japan only)</t>
        </is>
      </c>
      <c r="G17" s="10" t="inlineStr">
        <is>
          <t>Linked card</t>
        </is>
      </c>
      <c r="H17" s="10" t="inlineStr">
        <is>
          <t>Conditional</t>
        </is>
      </c>
      <c r="I17" s="10" t="inlineStr">
        <is>
          <t>Country of hire</t>
        </is>
      </c>
      <c r="J17" s="10" t="inlineStr">
        <is>
          <t>Rendered only when country = Japan.</t>
        </is>
      </c>
      <c r="K17" s="10" t="inlineStr">
        <is>
          <t>—</t>
        </is>
      </c>
      <c r="L17" s="10" t="inlineStr">
        <is>
          <t>A-46</t>
        </is>
      </c>
      <c r="M17" s="10" t="inlineStr">
        <is>
          <t>Future State Seq 11</t>
        </is>
      </c>
      <c r="N17" s="13" t="inlineStr">
        <is>
          <t>Aligned</t>
        </is>
      </c>
    </row>
    <row r="18">
      <c r="A18" s="12" t="inlineStr">
        <is>
          <t>New hire</t>
        </is>
      </c>
      <c r="B18" s="12" t="inlineStr">
        <is>
          <t>P-00</t>
        </is>
      </c>
      <c r="C18" s="12" t="inlineStr">
        <is>
          <t>Portal landing / task list</t>
        </is>
      </c>
      <c r="D18" s="12" t="inlineStr">
        <is>
          <t>#/</t>
        </is>
      </c>
      <c r="E18" s="12" t="inlineStr">
        <is>
          <t>Coming up</t>
        </is>
      </c>
      <c r="F18" s="12" t="inlineStr">
        <is>
          <t>Overflow line: 'More to-dos may be assigned later.'</t>
        </is>
      </c>
      <c r="G18" s="12" t="inlineStr">
        <is>
          <t>Display</t>
        </is>
      </c>
      <c r="H18" s="12" t="inlineStr">
        <is>
          <t>n/a</t>
        </is>
      </c>
      <c r="I18" s="12" t="inlineStr">
        <is>
          <t>Live portal copy</t>
        </is>
      </c>
      <c r="J18" s="12" t="inlineStr">
        <is>
          <t>Verbatim. Removes the false floor created by a finite visible list.</t>
        </is>
      </c>
      <c r="K18" s="12" t="inlineStr">
        <is>
          <t>—</t>
        </is>
      </c>
      <c r="L18" s="12" t="inlineStr">
        <is>
          <t>—</t>
        </is>
      </c>
      <c r="M18" s="12" t="inlineStr">
        <is>
          <t>Live UAT portal</t>
        </is>
      </c>
      <c r="N18" s="14" t="inlineStr">
        <is>
          <t>Gap closed</t>
        </is>
      </c>
    </row>
    <row r="19">
      <c r="A19" s="10" t="inlineStr">
        <is>
          <t>New hire</t>
        </is>
      </c>
      <c r="B19" s="10" t="inlineStr">
        <is>
          <t>P-00</t>
        </is>
      </c>
      <c r="C19" s="10" t="inlineStr">
        <is>
          <t>Portal landing / task list</t>
        </is>
      </c>
      <c r="D19" s="10" t="inlineStr">
        <is>
          <t>#/</t>
        </is>
      </c>
      <c r="E19" s="10" t="inlineStr">
        <is>
          <t>Coming up</t>
        </is>
      </c>
      <c r="F19" s="10" t="inlineStr">
        <is>
          <t>Benefits enrolment — opens 30 days before start</t>
        </is>
      </c>
      <c r="G19" s="10" t="inlineStr">
        <is>
          <t>Disabled card</t>
        </is>
      </c>
      <c r="H19" s="10" t="inlineStr">
        <is>
          <t>Conditional</t>
        </is>
      </c>
      <c r="I19" s="10" t="inlineStr">
        <is>
          <t>Country / platform</t>
        </is>
      </c>
      <c r="J19" s="10" t="inlineStr">
        <is>
          <t>Disabled state explains when and why.</t>
        </is>
      </c>
      <c r="K19" s="10" t="inlineStr">
        <is>
          <t>—</t>
        </is>
      </c>
      <c r="L19" s="10" t="inlineStr">
        <is>
          <t>—</t>
        </is>
      </c>
      <c r="M19" s="10" t="inlineStr">
        <is>
          <t>PRD v1.4 UC-S2-06</t>
        </is>
      </c>
      <c r="N19" s="15" t="inlineStr">
        <is>
          <t>Open — see Alignment G-05</t>
        </is>
      </c>
    </row>
    <row r="20">
      <c r="A20" s="12" t="inlineStr">
        <is>
          <t>New hire</t>
        </is>
      </c>
      <c r="B20" s="12" t="inlineStr">
        <is>
          <t>P-00</t>
        </is>
      </c>
      <c r="C20" s="12" t="inlineStr">
        <is>
          <t>Portal landing / task list</t>
        </is>
      </c>
      <c r="D20" s="12" t="inlineStr">
        <is>
          <t>#/</t>
        </is>
      </c>
      <c r="E20" s="12" t="inlineStr">
        <is>
          <t>Coming up</t>
        </is>
      </c>
      <c r="F20" s="12" t="inlineStr">
        <is>
          <t>Equipment setup instructions — Day −3</t>
        </is>
      </c>
      <c r="G20" s="12" t="inlineStr">
        <is>
          <t>Disabled card</t>
        </is>
      </c>
      <c r="H20" s="12" t="inlineStr">
        <is>
          <t>—</t>
        </is>
      </c>
      <c r="I20" s="12" t="inlineStr">
        <is>
          <t>—</t>
        </is>
      </c>
      <c r="J20" s="12" t="inlineStr">
        <is>
          <t>—</t>
        </is>
      </c>
      <c r="K20" s="12" t="inlineStr">
        <is>
          <t>—</t>
        </is>
      </c>
      <c r="L20" s="12" t="inlineStr">
        <is>
          <t>—</t>
        </is>
      </c>
      <c r="M20" s="12" t="inlineStr">
        <is>
          <t>Future State</t>
        </is>
      </c>
      <c r="N20" s="13" t="inlineStr">
        <is>
          <t>Aligned</t>
        </is>
      </c>
    </row>
    <row r="21">
      <c r="A21" s="10" t="inlineStr">
        <is>
          <t>New hire</t>
        </is>
      </c>
      <c r="B21" s="10" t="inlineStr">
        <is>
          <t>P-00</t>
        </is>
      </c>
      <c r="C21" s="10" t="inlineStr">
        <is>
          <t>Portal landing / task list</t>
        </is>
      </c>
      <c r="D21" s="10" t="inlineStr">
        <is>
          <t>#/</t>
        </is>
      </c>
      <c r="E21" s="10" t="inlineStr">
        <is>
          <t>Coming up</t>
        </is>
      </c>
      <c r="F21" s="10" t="inlineStr">
        <is>
          <t>Your first day details — Day −3</t>
        </is>
      </c>
      <c r="G21" s="10" t="inlineStr">
        <is>
          <t>Disabled card</t>
        </is>
      </c>
      <c r="H21" s="10" t="inlineStr">
        <is>
          <t>—</t>
        </is>
      </c>
      <c r="I21" s="10" t="inlineStr">
        <is>
          <t>NHO blueprint + HM</t>
        </is>
      </c>
      <c r="J21" s="10" t="inlineStr">
        <is>
          <t>Shows 'Confirmed by Priya' and her text once the manager confirms.</t>
        </is>
      </c>
      <c r="K21" s="10" t="inlineStr">
        <is>
          <t>HM H-03</t>
        </is>
      </c>
      <c r="L21" s="10" t="inlineStr">
        <is>
          <t>L-07</t>
        </is>
      </c>
      <c r="M21" s="10" t="inlineStr">
        <is>
          <t>Future State Seq 16</t>
        </is>
      </c>
      <c r="N21" s="14" t="inlineStr">
        <is>
          <t>Gap closed</t>
        </is>
      </c>
    </row>
    <row r="22">
      <c r="A22" s="12" t="inlineStr">
        <is>
          <t>New hire</t>
        </is>
      </c>
      <c r="B22" s="12" t="inlineStr">
        <is>
          <t>P-00</t>
        </is>
      </c>
      <c r="C22" s="12" t="inlineStr">
        <is>
          <t>Portal landing / task list</t>
        </is>
      </c>
      <c r="D22" s="12" t="inlineStr">
        <is>
          <t>#/</t>
        </is>
      </c>
      <c r="E22" s="12" t="inlineStr">
        <is>
          <t>Coming up</t>
        </is>
      </c>
      <c r="F22" s="12" t="inlineStr">
        <is>
          <t>Collect your Equinix credentials — Day −1</t>
        </is>
      </c>
      <c r="G22" s="12" t="inlineStr">
        <is>
          <t>Disabled card</t>
        </is>
      </c>
      <c r="H22" s="12" t="inlineStr">
        <is>
          <t>—</t>
        </is>
      </c>
      <c r="I22" s="12" t="inlineStr">
        <is>
          <t>Live portal</t>
        </is>
      </c>
      <c r="J22" s="12" t="inlineStr">
        <is>
          <t>Contents undocumented; noted as an open question on the card.</t>
        </is>
      </c>
      <c r="K22" s="12" t="inlineStr">
        <is>
          <t>—</t>
        </is>
      </c>
      <c r="L22" s="12" t="inlineStr">
        <is>
          <t>—</t>
        </is>
      </c>
      <c r="M22" s="12" t="inlineStr">
        <is>
          <t>Live UAT portal</t>
        </is>
      </c>
      <c r="N22" s="15" t="inlineStr">
        <is>
          <t>Open — see Alignment G-16</t>
        </is>
      </c>
    </row>
    <row r="23">
      <c r="A23" s="10" t="inlineStr">
        <is>
          <t>New hire</t>
        </is>
      </c>
      <c r="B23" s="10" t="inlineStr">
        <is>
          <t>P-00</t>
        </is>
      </c>
      <c r="C23" s="10" t="inlineStr">
        <is>
          <t>Portal landing / task list</t>
        </is>
      </c>
      <c r="D23" s="10" t="inlineStr">
        <is>
          <t>#/</t>
        </is>
      </c>
      <c r="E23" s="10" t="inlineStr">
        <is>
          <t>Coming up</t>
        </is>
      </c>
      <c r="F23" s="10" t="inlineStr">
        <is>
          <t>Order a phone — Day 1, optional</t>
        </is>
      </c>
      <c r="G23" s="10" t="inlineStr">
        <is>
          <t>Disabled card</t>
        </is>
      </c>
      <c r="H23" s="10" t="inlineStr">
        <is>
          <t>Optional</t>
        </is>
      </c>
      <c r="I23" s="10" t="inlineStr">
        <is>
          <t>—</t>
        </is>
      </c>
      <c r="J23" s="10" t="inlineStr">
        <is>
          <t>Explicitly not pre-Day 1 and not the manager's.</t>
        </is>
      </c>
      <c r="K23" s="10" t="inlineStr">
        <is>
          <t>HM H-04 table</t>
        </is>
      </c>
      <c r="L23" s="10" t="inlineStr">
        <is>
          <t>A-40</t>
        </is>
      </c>
      <c r="M23" s="10" t="inlineStr">
        <is>
          <t>Live UAT portal</t>
        </is>
      </c>
      <c r="N23" s="14" t="inlineStr">
        <is>
          <t>Gap closed</t>
        </is>
      </c>
    </row>
    <row r="24">
      <c r="A24" s="12" t="inlineStr">
        <is>
          <t>New hire</t>
        </is>
      </c>
      <c r="B24" s="12" t="inlineStr">
        <is>
          <t>P-00</t>
        </is>
      </c>
      <c r="C24" s="12" t="inlineStr">
        <is>
          <t>Portal landing / task list</t>
        </is>
      </c>
      <c r="D24" s="12" t="inlineStr">
        <is>
          <t>#/</t>
        </is>
      </c>
      <c r="E24" s="12" t="inlineStr">
        <is>
          <t>Coming up</t>
        </is>
      </c>
      <c r="F24" s="12" t="inlineStr">
        <is>
          <t>Complete at-home workspace setup — no due date, optional</t>
        </is>
      </c>
      <c r="G24" s="12" t="inlineStr">
        <is>
          <t>Disabled card</t>
        </is>
      </c>
      <c r="H24" s="12" t="inlineStr">
        <is>
          <t>Optional</t>
        </is>
      </c>
      <c r="I24" s="12" t="inlineStr">
        <is>
          <t>Live portal</t>
        </is>
      </c>
      <c r="J24" s="12" t="inlineStr">
        <is>
          <t>Mirrors the platform's native optional pattern.</t>
        </is>
      </c>
      <c r="K24" s="12" t="inlineStr">
        <is>
          <t>—</t>
        </is>
      </c>
      <c r="L24" s="12" t="inlineStr">
        <is>
          <t>A-36</t>
        </is>
      </c>
      <c r="M24" s="12" t="inlineStr">
        <is>
          <t>Live UAT portal</t>
        </is>
      </c>
      <c r="N24" s="14" t="inlineStr">
        <is>
          <t>Gap closed</t>
        </is>
      </c>
    </row>
    <row r="25">
      <c r="A25" s="10" t="inlineStr">
        <is>
          <t>New hire</t>
        </is>
      </c>
      <c r="B25" s="10" t="inlineStr">
        <is>
          <t>P-00</t>
        </is>
      </c>
      <c r="C25" s="10" t="inlineStr">
        <is>
          <t>Portal landing / task list</t>
        </is>
      </c>
      <c r="D25" s="10" t="inlineStr">
        <is>
          <t>#/</t>
        </is>
      </c>
      <c r="E25" s="10" t="inlineStr">
        <is>
          <t>Coming up</t>
        </is>
      </c>
      <c r="F25" s="10" t="inlineStr">
        <is>
          <t>Information governance — first week</t>
        </is>
      </c>
      <c r="G25" s="10" t="inlineStr">
        <is>
          <t>Disabled card</t>
        </is>
      </c>
      <c r="H25" s="10" t="inlineStr">
        <is>
          <t>Required</t>
        </is>
      </c>
      <c r="I25" s="10" t="inlineStr">
        <is>
          <t>—</t>
        </is>
      </c>
      <c r="J25" s="10" t="inlineStr">
        <is>
          <t>The one compliance item placed at Week 1.</t>
        </is>
      </c>
      <c r="K25" s="10" t="inlineStr">
        <is>
          <t>—</t>
        </is>
      </c>
      <c r="L25" s="10" t="inlineStr">
        <is>
          <t>A-21</t>
        </is>
      </c>
      <c r="M25" s="10" t="inlineStr">
        <is>
          <t>Commonality Design Logic</t>
        </is>
      </c>
      <c r="N25" s="13" t="inlineStr">
        <is>
          <t>Aligned</t>
        </is>
      </c>
    </row>
    <row r="26">
      <c r="A26" s="12" t="inlineStr">
        <is>
          <t>New hire</t>
        </is>
      </c>
      <c r="B26" s="12" t="inlineStr">
        <is>
          <t>P-00</t>
        </is>
      </c>
      <c r="C26" s="12" t="inlineStr">
        <is>
          <t>Portal landing / task list</t>
        </is>
      </c>
      <c r="D26" s="12" t="inlineStr">
        <is>
          <t>#/</t>
        </is>
      </c>
      <c r="E26" s="12" t="inlineStr">
        <is>
          <t>Handled by other teams</t>
        </is>
      </c>
      <c r="F26" s="12" t="inlineStr">
        <is>
          <t>Banking and direct deposit</t>
        </is>
      </c>
      <c r="G26" s="12" t="inlineStr">
        <is>
          <t>Boundary card</t>
        </is>
      </c>
      <c r="H26" s="12" t="inlineStr">
        <is>
          <t>—</t>
        </is>
      </c>
      <c r="I26" s="12" t="inlineStr">
        <is>
          <t>Payroll</t>
        </is>
      </c>
      <c r="J26" s="12" t="inlineStr">
        <is>
          <t>No date shown. Confirmed deliberate exclusion.</t>
        </is>
      </c>
      <c r="K26" s="12" t="inlineStr">
        <is>
          <t>—</t>
        </is>
      </c>
      <c r="L26" s="12" t="inlineStr">
        <is>
          <t>A-10 / A-11</t>
        </is>
      </c>
      <c r="M26" s="12" t="inlineStr">
        <is>
          <t>Merge Analysis 3</t>
        </is>
      </c>
      <c r="N26" s="15" t="inlineStr">
        <is>
          <t>Open — see Alignment G-07</t>
        </is>
      </c>
    </row>
    <row r="27">
      <c r="A27" s="10" t="inlineStr">
        <is>
          <t>New hire</t>
        </is>
      </c>
      <c r="B27" s="10" t="inlineStr">
        <is>
          <t>P-00</t>
        </is>
      </c>
      <c r="C27" s="10" t="inlineStr">
        <is>
          <t>Portal landing / task list</t>
        </is>
      </c>
      <c r="D27" s="10" t="inlineStr">
        <is>
          <t>#/</t>
        </is>
      </c>
      <c r="E27" s="10" t="inlineStr">
        <is>
          <t>Handled by other teams</t>
        </is>
      </c>
      <c r="F27" s="10" t="inlineStr">
        <is>
          <t>Tax forms and withholding</t>
        </is>
      </c>
      <c r="G27" s="10" t="inlineStr">
        <is>
          <t>Boundary card</t>
        </is>
      </c>
      <c r="H27" s="10" t="inlineStr">
        <is>
          <t>—</t>
        </is>
      </c>
      <c r="I27" s="10" t="inlineStr">
        <is>
          <t>Payroll</t>
        </is>
      </c>
      <c r="J27" s="10" t="inlineStr">
        <is>
          <t>Replaced the passive background-check card, which is now a real task.</t>
        </is>
      </c>
      <c r="K27" s="10" t="inlineStr">
        <is>
          <t>—</t>
        </is>
      </c>
      <c r="L27" s="10" t="inlineStr">
        <is>
          <t>—</t>
        </is>
      </c>
      <c r="M27" s="10" t="inlineStr">
        <is>
          <t>Merge Analysis 8</t>
        </is>
      </c>
      <c r="N27" s="13" t="inlineStr">
        <is>
          <t>Aligned</t>
        </is>
      </c>
    </row>
    <row r="28">
      <c r="A28" s="12" t="inlineStr">
        <is>
          <t>New hire</t>
        </is>
      </c>
      <c r="B28" s="12" t="inlineStr">
        <is>
          <t>P-00</t>
        </is>
      </c>
      <c r="C28" s="12" t="inlineStr">
        <is>
          <t>Portal landing / task list</t>
        </is>
      </c>
      <c r="D28" s="12" t="inlineStr">
        <is>
          <t>#/</t>
        </is>
      </c>
      <c r="E28" s="12" t="inlineStr">
        <is>
          <t>Rail — your people</t>
        </is>
      </c>
      <c r="F28" s="12" t="inlineStr">
        <is>
          <t>Hiring manager contact (Teams, email, phone)</t>
        </is>
      </c>
      <c r="G28" s="12" t="inlineStr">
        <is>
          <t>Contact card</t>
        </is>
      </c>
      <c r="H28" s="12" t="inlineStr">
        <is>
          <t>—</t>
        </is>
      </c>
      <c r="I28" s="12" t="inlineStr">
        <is>
          <t>Workday / HM confirm</t>
        </is>
      </c>
      <c r="J28" s="12" t="inlineStr">
        <is>
          <t>Phone appears only after the manager confirms their details.</t>
        </is>
      </c>
      <c r="K28" s="12" t="inlineStr">
        <is>
          <t>HM H-00 quick confirm</t>
        </is>
      </c>
      <c r="L28" s="12" t="inlineStr">
        <is>
          <t>A-32 / L-03</t>
        </is>
      </c>
      <c r="M28" s="12" t="inlineStr">
        <is>
          <t>HM H-09</t>
        </is>
      </c>
      <c r="N28" s="14" t="inlineStr">
        <is>
          <t>Gap closed</t>
        </is>
      </c>
    </row>
    <row r="29">
      <c r="A29" s="10" t="inlineStr">
        <is>
          <t>New hire</t>
        </is>
      </c>
      <c r="B29" s="10" t="inlineStr">
        <is>
          <t>P-00</t>
        </is>
      </c>
      <c r="C29" s="10" t="inlineStr">
        <is>
          <t>Portal landing / task list</t>
        </is>
      </c>
      <c r="D29" s="10" t="inlineStr">
        <is>
          <t>#/</t>
        </is>
      </c>
      <c r="E29" s="10" t="inlineStr">
        <is>
          <t>Rail — your people</t>
        </is>
      </c>
      <c r="F29" s="10" t="inlineStr">
        <is>
          <t>Onboarding buddy (role, timezone, who chose them)</t>
        </is>
      </c>
      <c r="G29" s="10" t="inlineStr">
        <is>
          <t>Contact card</t>
        </is>
      </c>
      <c r="H29" s="10" t="inlineStr">
        <is>
          <t>—</t>
        </is>
      </c>
      <c r="I29" s="10" t="inlineStr">
        <is>
          <t>HM buddy task</t>
        </is>
      </c>
      <c r="J29" s="10" t="inlineStr">
        <is>
          <t>Three states: none assigned / assigned but hidden / visible. Rule is switchable.</t>
        </is>
      </c>
      <c r="K29" s="10" t="inlineStr">
        <is>
          <t>HM H-07</t>
        </is>
      </c>
      <c r="L29" s="10" t="inlineStr">
        <is>
          <t>A-31 / L-01</t>
        </is>
      </c>
      <c r="M29" s="10" t="inlineStr">
        <is>
          <t>HM H-07 · OI-22</t>
        </is>
      </c>
      <c r="N29" s="16" t="inlineStr">
        <is>
          <t>CONFLICT — see Alignment G-11</t>
        </is>
      </c>
    </row>
    <row r="30">
      <c r="A30" s="12" t="inlineStr">
        <is>
          <t>New hire</t>
        </is>
      </c>
      <c r="B30" s="12" t="inlineStr">
        <is>
          <t>P-00</t>
        </is>
      </c>
      <c r="C30" s="12" t="inlineStr">
        <is>
          <t>Portal landing / task list</t>
        </is>
      </c>
      <c r="D30" s="12" t="inlineStr">
        <is>
          <t>#/</t>
        </is>
      </c>
      <c r="E30" s="12" t="inlineStr">
        <is>
          <t>Rail — your people</t>
        </is>
      </c>
      <c r="F30" s="12" t="inlineStr">
        <is>
          <t>People Experience coordinator</t>
        </is>
      </c>
      <c r="G30" s="12" t="inlineStr">
        <is>
          <t>Contact card</t>
        </is>
      </c>
      <c r="H30" s="12" t="inlineStr">
        <is>
          <t>—</t>
        </is>
      </c>
      <c r="I30" s="12" t="inlineStr">
        <is>
          <t>Assigned PEX</t>
        </is>
      </c>
      <c r="J30" s="12" t="inlineStr">
        <is>
          <t>Image, name, Teams, email.</t>
        </is>
      </c>
      <c r="K30" s="12" t="inlineStr">
        <is>
          <t>—</t>
        </is>
      </c>
      <c r="L30" s="12" t="inlineStr">
        <is>
          <t>—</t>
        </is>
      </c>
      <c r="M30" s="12" t="inlineStr">
        <is>
          <t>PRD S2-US01</t>
        </is>
      </c>
      <c r="N30" s="13" t="inlineStr">
        <is>
          <t>Aligned</t>
        </is>
      </c>
    </row>
    <row r="31">
      <c r="A31" s="10" t="inlineStr">
        <is>
          <t>New hire</t>
        </is>
      </c>
      <c r="B31" s="10" t="inlineStr">
        <is>
          <t>P-00</t>
        </is>
      </c>
      <c r="C31" s="10" t="inlineStr">
        <is>
          <t>Portal landing / task list</t>
        </is>
      </c>
      <c r="D31" s="10" t="inlineStr">
        <is>
          <t>#/</t>
        </is>
      </c>
      <c r="E31" s="10" t="inlineStr">
        <is>
          <t>Rail — your people</t>
        </is>
      </c>
      <c r="F31" s="10" t="inlineStr">
        <is>
          <t>Recruiter, with handover note</t>
        </is>
      </c>
      <c r="G31" s="10" t="inlineStr">
        <is>
          <t>Contact card</t>
        </is>
      </c>
      <c r="H31" s="10" t="inlineStr">
        <is>
          <t>—</t>
        </is>
      </c>
      <c r="I31" s="10" t="inlineStr">
        <is>
          <t>Assigned recruiter</t>
        </is>
      </c>
      <c r="J31" s="10" t="inlineStr">
        <is>
          <t>Note that the recruiter hands over to PEX a week after signing.</t>
        </is>
      </c>
      <c r="K31" s="10" t="inlineStr">
        <is>
          <t>—</t>
        </is>
      </c>
      <c r="L31" s="10" t="inlineStr">
        <is>
          <t>—</t>
        </is>
      </c>
      <c r="M31" s="10" t="inlineStr">
        <is>
          <t>PRD S2-US01</t>
        </is>
      </c>
      <c r="N31" s="13" t="inlineStr">
        <is>
          <t>Aligned</t>
        </is>
      </c>
    </row>
    <row r="32">
      <c r="A32" s="12" t="inlineStr">
        <is>
          <t>New hire</t>
        </is>
      </c>
      <c r="B32" s="12" t="inlineStr">
        <is>
          <t>P-00</t>
        </is>
      </c>
      <c r="C32" s="12" t="inlineStr">
        <is>
          <t>Portal landing / task list</t>
        </is>
      </c>
      <c r="D32" s="12" t="inlineStr">
        <is>
          <t>#/</t>
        </is>
      </c>
      <c r="E32" s="12" t="inlineStr">
        <is>
          <t>Rail — good to know</t>
        </is>
      </c>
      <c r="F32" s="12" t="inlineStr">
        <is>
          <t>Inside Equinix — six modules, nothing tracked</t>
        </is>
      </c>
      <c r="G32" s="12" t="inlineStr">
        <is>
          <t>Reference</t>
        </is>
      </c>
      <c r="H32" s="12" t="inlineStr">
        <is>
          <t>No</t>
        </is>
      </c>
      <c r="I32" s="12" t="inlineStr">
        <is>
          <t>Content hub</t>
        </is>
      </c>
      <c r="J32" s="12" t="inlineStr">
        <is>
          <t>Expands to name the six chapters. Records the carousel intent.</t>
        </is>
      </c>
      <c r="K32" s="12" t="inlineStr">
        <is>
          <t>—</t>
        </is>
      </c>
      <c r="L32" s="12" t="inlineStr">
        <is>
          <t>A-35</t>
        </is>
      </c>
      <c r="M32" s="12" t="inlineStr">
        <is>
          <t>PRD v1.4 UI request</t>
        </is>
      </c>
      <c r="N32" s="14" t="inlineStr">
        <is>
          <t>Gap closed — build changes</t>
        </is>
      </c>
    </row>
    <row r="33">
      <c r="A33" s="10" t="inlineStr">
        <is>
          <t>New hire</t>
        </is>
      </c>
      <c r="B33" s="10" t="inlineStr">
        <is>
          <t>P-00</t>
        </is>
      </c>
      <c r="C33" s="10" t="inlineStr">
        <is>
          <t>Portal landing / task list</t>
        </is>
      </c>
      <c r="D33" s="10" t="inlineStr">
        <is>
          <t>#/</t>
        </is>
      </c>
      <c r="E33" s="10" t="inlineStr">
        <is>
          <t>Rail — good to know</t>
        </is>
      </c>
      <c r="F33" s="10" t="inlineStr">
        <is>
          <t>Your first 90 days — new hire + manager checklists</t>
        </is>
      </c>
      <c r="G33" s="10" t="inlineStr">
        <is>
          <t>Reference</t>
        </is>
      </c>
      <c r="H33" s="10" t="inlineStr">
        <is>
          <t>No</t>
        </is>
      </c>
      <c r="I33" s="10" t="inlineStr">
        <is>
          <t>Content hub</t>
        </is>
      </c>
      <c r="J33" s="10" t="inlineStr">
        <is>
          <t>Reference only, no tick-off.</t>
        </is>
      </c>
      <c r="K33" s="10" t="inlineStr">
        <is>
          <t>—</t>
        </is>
      </c>
      <c r="L33" s="10" t="inlineStr">
        <is>
          <t>A-36</t>
        </is>
      </c>
      <c r="M33" s="10" t="inlineStr">
        <is>
          <t>PRD v1.4</t>
        </is>
      </c>
      <c r="N33" s="14" t="inlineStr">
        <is>
          <t>Gap closed</t>
        </is>
      </c>
    </row>
    <row r="34">
      <c r="A34" s="12" t="inlineStr">
        <is>
          <t>New hire</t>
        </is>
      </c>
      <c r="B34" s="12" t="inlineStr">
        <is>
          <t>P-00</t>
        </is>
      </c>
      <c r="C34" s="12" t="inlineStr">
        <is>
          <t>Portal landing / task list</t>
        </is>
      </c>
      <c r="D34" s="12" t="inlineStr">
        <is>
          <t>#/</t>
        </is>
      </c>
      <c r="E34" s="12" t="inlineStr">
        <is>
          <t>Rail — good to know</t>
        </is>
      </c>
      <c r="F34" s="12" t="inlineStr">
        <is>
          <t>What to expect before Day 1 · Who to contact for what</t>
        </is>
      </c>
      <c r="G34" s="12" t="inlineStr">
        <is>
          <t>Reference</t>
        </is>
      </c>
      <c r="H34" s="12" t="inlineStr">
        <is>
          <t>No</t>
        </is>
      </c>
      <c r="I34" s="12" t="inlineStr">
        <is>
          <t>—</t>
        </is>
      </c>
      <c r="J34" s="12" t="inlineStr">
        <is>
          <t>Expandable explanations.</t>
        </is>
      </c>
      <c r="K34" s="12" t="inlineStr">
        <is>
          <t>—</t>
        </is>
      </c>
      <c r="L34" s="12" t="inlineStr">
        <is>
          <t>—</t>
        </is>
      </c>
      <c r="M34" s="12" t="inlineStr">
        <is>
          <t>—</t>
        </is>
      </c>
      <c r="N34" s="11" t="inlineStr">
        <is>
          <t>Mockup only</t>
        </is>
      </c>
    </row>
    <row r="35">
      <c r="A35" s="10" t="inlineStr">
        <is>
          <t>New hire</t>
        </is>
      </c>
      <c r="B35" s="10" t="inlineStr">
        <is>
          <t>P-00</t>
        </is>
      </c>
      <c r="C35" s="10" t="inlineStr">
        <is>
          <t>Portal landing / task list</t>
        </is>
      </c>
      <c r="D35" s="10" t="inlineStr">
        <is>
          <t>#/</t>
        </is>
      </c>
      <c r="E35" s="10" t="inlineStr">
        <is>
          <t>Support</t>
        </is>
      </c>
      <c r="F35" s="10" t="inlineStr">
        <is>
          <t>Onboarding assistant (chat)</t>
        </is>
      </c>
      <c r="G35" s="10" t="inlineStr">
        <is>
          <t>Widget</t>
        </is>
      </c>
      <c r="H35" s="10" t="inlineStr">
        <is>
          <t>No</t>
        </is>
      </c>
      <c r="I35" s="10" t="inlineStr">
        <is>
          <t>—</t>
        </is>
      </c>
      <c r="J35" s="10" t="inlineStr">
        <is>
          <t>Canned answers, human handoff stated.</t>
        </is>
      </c>
      <c r="K35" s="10" t="inlineStr">
        <is>
          <t>—</t>
        </is>
      </c>
      <c r="L35" s="10" t="inlineStr">
        <is>
          <t>—</t>
        </is>
      </c>
      <c r="M35" s="10" t="inlineStr">
        <is>
          <t>Future State Seq 15</t>
        </is>
      </c>
      <c r="N35" s="13" t="inlineStr">
        <is>
          <t>Aligned</t>
        </is>
      </c>
    </row>
    <row r="36">
      <c r="A36" s="12" t="inlineStr">
        <is>
          <t>New hire</t>
        </is>
      </c>
      <c r="B36" s="12" t="inlineStr">
        <is>
          <t>NH-EQ</t>
        </is>
      </c>
      <c r="C36" s="12" t="inlineStr">
        <is>
          <t>Choose your workspace accessories</t>
        </is>
      </c>
      <c r="D36" s="12" t="inlineStr">
        <is>
          <t>#/equipment</t>
        </is>
      </c>
      <c r="E36" s="12" t="inlineStr">
        <is>
          <t>Status</t>
        </is>
      </c>
      <c r="F36" s="12" t="inlineStr">
        <is>
          <t>Equipment orders table — 3 rows, 3 owners</t>
        </is>
      </c>
      <c r="G36" s="12" t="inlineStr">
        <is>
          <t>Display table</t>
        </is>
      </c>
      <c r="H36" s="12" t="inlineStr">
        <is>
          <t>n/a</t>
        </is>
      </c>
      <c r="I36" s="12" t="inlineStr">
        <is>
          <t>Equipment Orders</t>
        </is>
      </c>
      <c r="J36" s="12" t="inlineStr">
        <is>
          <t>Each row names who it waits on and the task that unblocks it.</t>
        </is>
      </c>
      <c r="K36" s="12" t="inlineStr">
        <is>
          <t>HM H-00 (same table)</t>
        </is>
      </c>
      <c r="L36" s="12" t="inlineStr">
        <is>
          <t>A-41 / M-16 / L-04</t>
        </is>
      </c>
      <c r="M36" s="12" t="inlineStr">
        <is>
          <t>Live UAT portal</t>
        </is>
      </c>
      <c r="N36" s="14" t="inlineStr">
        <is>
          <t>Gap closed</t>
        </is>
      </c>
    </row>
    <row r="37">
      <c r="A37" s="10" t="inlineStr">
        <is>
          <t>New hire</t>
        </is>
      </c>
      <c r="B37" s="10" t="inlineStr">
        <is>
          <t>NH-EQ</t>
        </is>
      </c>
      <c r="C37" s="10" t="inlineStr">
        <is>
          <t>Choose your workspace accessories</t>
        </is>
      </c>
      <c r="D37" s="10" t="inlineStr">
        <is>
          <t>#/equipment</t>
        </is>
      </c>
      <c r="E37" s="10" t="inlineStr">
        <is>
          <t>Selection</t>
        </is>
      </c>
      <c r="F37" s="10" t="inlineStr">
        <is>
          <t>What do you need? (None / Headset only / Headset + accessories)</t>
        </is>
      </c>
      <c r="G37" s="10" t="inlineStr">
        <is>
          <t>Select</t>
        </is>
      </c>
      <c r="H37" s="10" t="inlineStr">
        <is>
          <t>Yes</t>
        </is>
      </c>
      <c r="I37" s="10" t="inlineStr">
        <is>
          <t>Blank</t>
        </is>
      </c>
      <c r="J37" s="10" t="inlineStr">
        <is>
          <t>Checkboxes appear only on the third option.</t>
        </is>
      </c>
      <c r="K37" s="10" t="inlineStr">
        <is>
          <t>—</t>
        </is>
      </c>
      <c r="L37" s="10" t="inlineStr">
        <is>
          <t>—</t>
        </is>
      </c>
      <c r="M37" s="10" t="inlineStr">
        <is>
          <t>Live UAT portal</t>
        </is>
      </c>
      <c r="N37" s="14" t="inlineStr">
        <is>
          <t>Gap closed</t>
        </is>
      </c>
    </row>
    <row r="38">
      <c r="A38" s="12" t="inlineStr">
        <is>
          <t>New hire</t>
        </is>
      </c>
      <c r="B38" s="12" t="inlineStr">
        <is>
          <t>NH-EQ</t>
        </is>
      </c>
      <c r="C38" s="12" t="inlineStr">
        <is>
          <t>Choose your workspace accessories</t>
        </is>
      </c>
      <c r="D38" s="12" t="inlineStr">
        <is>
          <t>#/equipment</t>
        </is>
      </c>
      <c r="E38" s="12" t="inlineStr">
        <is>
          <t>Selection</t>
        </is>
      </c>
      <c r="F38" s="12" t="inlineStr">
        <is>
          <t>Headset is automatic (not selectable)</t>
        </is>
      </c>
      <c r="G38" s="12" t="inlineStr">
        <is>
          <t>Display</t>
        </is>
      </c>
      <c r="H38" s="12" t="inlineStr">
        <is>
          <t>n/a</t>
        </is>
      </c>
      <c r="I38" s="12" t="inlineStr">
        <is>
          <t>Policy</t>
        </is>
      </c>
      <c r="J38" s="12" t="inlineStr">
        <is>
          <t>Stated, not offered as a choice.</t>
        </is>
      </c>
      <c r="K38" s="12" t="inlineStr">
        <is>
          <t>—</t>
        </is>
      </c>
      <c r="L38" s="12" t="inlineStr">
        <is>
          <t>A-39</t>
        </is>
      </c>
      <c r="M38" s="12" t="inlineStr">
        <is>
          <t>Live UAT portal</t>
        </is>
      </c>
      <c r="N38" s="14" t="inlineStr">
        <is>
          <t>Gap closed</t>
        </is>
      </c>
    </row>
    <row r="39">
      <c r="A39" s="10" t="inlineStr">
        <is>
          <t>New hire</t>
        </is>
      </c>
      <c r="B39" s="10" t="inlineStr">
        <is>
          <t>NH-EQ</t>
        </is>
      </c>
      <c r="C39" s="10" t="inlineStr">
        <is>
          <t>Choose your workspace accessories</t>
        </is>
      </c>
      <c r="D39" s="10" t="inlineStr">
        <is>
          <t>#/equipment</t>
        </is>
      </c>
      <c r="E39" s="10" t="inlineStr">
        <is>
          <t>Selection</t>
        </is>
      </c>
      <c r="F39" s="10" t="inlineStr">
        <is>
          <t>At-home framing — office already supplied</t>
        </is>
      </c>
      <c r="G39" s="10" t="inlineStr">
        <is>
          <t>Display</t>
        </is>
      </c>
      <c r="H39" s="10" t="inlineStr">
        <is>
          <t>n/a</t>
        </is>
      </c>
      <c r="I39" s="10" t="inlineStr">
        <is>
          <t>Policy</t>
        </is>
      </c>
      <c r="J39" s="10" t="inlineStr">
        <is>
          <t>Sets the scope of what accessories are for.</t>
        </is>
      </c>
      <c r="K39" s="10" t="inlineStr">
        <is>
          <t>—</t>
        </is>
      </c>
      <c r="L39" s="10" t="inlineStr">
        <is>
          <t>A-37</t>
        </is>
      </c>
      <c r="M39" s="10" t="inlineStr">
        <is>
          <t>Live UAT portal</t>
        </is>
      </c>
      <c r="N39" s="14" t="inlineStr">
        <is>
          <t>Gap closed</t>
        </is>
      </c>
    </row>
    <row r="40">
      <c r="A40" s="12" t="inlineStr">
        <is>
          <t>New hire</t>
        </is>
      </c>
      <c r="B40" s="12" t="inlineStr">
        <is>
          <t>NH-EQ</t>
        </is>
      </c>
      <c r="C40" s="12" t="inlineStr">
        <is>
          <t>Choose your workspace accessories</t>
        </is>
      </c>
      <c r="D40" s="12" t="inlineStr">
        <is>
          <t>#/equipment</t>
        </is>
      </c>
      <c r="E40" s="12" t="inlineStr">
        <is>
          <t>Selection</t>
        </is>
      </c>
      <c r="F40" s="12" t="inlineStr">
        <is>
          <t>Monitor · Keyboard · Mouse · Webcam · Speakerphone</t>
        </is>
      </c>
      <c r="G40" s="12" t="inlineStr">
        <is>
          <t>Checkbox ×5</t>
        </is>
      </c>
      <c r="H40" s="12" t="inlineStr">
        <is>
          <t>No</t>
        </is>
      </c>
      <c r="I40" s="12" t="inlineStr">
        <is>
          <t>Blank</t>
        </is>
      </c>
      <c r="J40" s="12" t="inlineStr">
        <is>
          <t>Revealed on 'Headset and other accessories'.</t>
        </is>
      </c>
      <c r="K40" s="12" t="inlineStr">
        <is>
          <t>—</t>
        </is>
      </c>
      <c r="L40" s="12" t="inlineStr">
        <is>
          <t>A-34</t>
        </is>
      </c>
      <c r="M40" s="12" t="inlineStr">
        <is>
          <t>Live UAT portal</t>
        </is>
      </c>
      <c r="N40" s="14" t="inlineStr">
        <is>
          <t>Gap closed</t>
        </is>
      </c>
    </row>
    <row r="41">
      <c r="A41" s="10" t="inlineStr">
        <is>
          <t>New hire</t>
        </is>
      </c>
      <c r="B41" s="10" t="inlineStr">
        <is>
          <t>NH-EQ</t>
        </is>
      </c>
      <c r="C41" s="10" t="inlineStr">
        <is>
          <t>Choose your workspace accessories</t>
        </is>
      </c>
      <c r="D41" s="10" t="inlineStr">
        <is>
          <t>#/equipment</t>
        </is>
      </c>
      <c r="E41" s="10" t="inlineStr">
        <is>
          <t>Adjustments</t>
        </is>
      </c>
      <c r="F41" s="10" t="inlineStr">
        <is>
          <t>Link to adjustments and formal accommodations</t>
        </is>
      </c>
      <c r="G41" s="10" t="inlineStr">
        <is>
          <t>Link</t>
        </is>
      </c>
      <c r="H41" s="10" t="inlineStr">
        <is>
          <t>No</t>
        </is>
      </c>
      <c r="I41" s="10" t="inlineStr">
        <is>
          <t>—</t>
        </is>
      </c>
      <c r="J41" s="10" t="inlineStr">
        <is>
          <t>Mirrors the live form's placement at the point of equipment choice.</t>
        </is>
      </c>
      <c r="K41" s="10" t="inlineStr">
        <is>
          <t>NH P-01 Tab 3</t>
        </is>
      </c>
      <c r="L41" s="10" t="inlineStr">
        <is>
          <t>A-06</t>
        </is>
      </c>
      <c r="M41" s="10" t="inlineStr">
        <is>
          <t>HM spec 2.3</t>
        </is>
      </c>
      <c r="N41" s="14" t="inlineStr">
        <is>
          <t>Gap closed</t>
        </is>
      </c>
    </row>
    <row r="42">
      <c r="A42" s="12" t="inlineStr">
        <is>
          <t>New hire</t>
        </is>
      </c>
      <c r="B42" s="12" t="inlineStr">
        <is>
          <t>NH-EQ</t>
        </is>
      </c>
      <c r="C42" s="12" t="inlineStr">
        <is>
          <t>Choose your workspace accessories</t>
        </is>
      </c>
      <c r="D42" s="12" t="inlineStr">
        <is>
          <t>#/equipment</t>
        </is>
      </c>
      <c r="E42" s="12" t="inlineStr">
        <is>
          <t>Shipping</t>
        </is>
      </c>
      <c r="F42" s="12" t="inlineStr">
        <is>
          <t>Office address (derived from role + location)</t>
        </is>
      </c>
      <c r="G42" s="12" t="inlineStr">
        <is>
          <t>Display</t>
        </is>
      </c>
      <c r="H42" s="12" t="inlineStr">
        <is>
          <t>n/a</t>
        </is>
      </c>
      <c r="I42" s="12" t="inlineStr">
        <is>
          <t>Role + location</t>
        </is>
      </c>
      <c r="J42" s="12" t="inlineStr">
        <is>
          <t>Pre-filled, read-only. Country-aware.</t>
        </is>
      </c>
      <c r="K42" s="12" t="inlineStr">
        <is>
          <t>—</t>
        </is>
      </c>
      <c r="L42" s="12" t="inlineStr">
        <is>
          <t>A-38</t>
        </is>
      </c>
      <c r="M42" s="12" t="inlineStr">
        <is>
          <t>Live UAT portal</t>
        </is>
      </c>
      <c r="N42" s="14" t="inlineStr">
        <is>
          <t>Gap closed</t>
        </is>
      </c>
    </row>
    <row r="43">
      <c r="A43" s="10" t="inlineStr">
        <is>
          <t>New hire</t>
        </is>
      </c>
      <c r="B43" s="10" t="inlineStr">
        <is>
          <t>NH-EQ</t>
        </is>
      </c>
      <c r="C43" s="10" t="inlineStr">
        <is>
          <t>Choose your workspace accessories</t>
        </is>
      </c>
      <c r="D43" s="10" t="inlineStr">
        <is>
          <t>#/equipment</t>
        </is>
      </c>
      <c r="E43" s="10" t="inlineStr">
        <is>
          <t>Shipping</t>
        </is>
      </c>
      <c r="F43" s="10" t="inlineStr">
        <is>
          <t>Ship to the office address? Yes / No</t>
        </is>
      </c>
      <c r="G43" s="10" t="inlineStr">
        <is>
          <t>Radio</t>
        </is>
      </c>
      <c r="H43" s="10" t="inlineStr">
        <is>
          <t>Yes</t>
        </is>
      </c>
      <c r="I43" s="10" t="inlineStr">
        <is>
          <t>Blank</t>
        </is>
      </c>
      <c r="J43" s="10" t="inlineStr">
        <is>
          <t>'No' reveals the home address from personal details.</t>
        </is>
      </c>
      <c r="K43" s="10" t="inlineStr">
        <is>
          <t>NH P-01 address</t>
        </is>
      </c>
      <c r="L43" s="10" t="inlineStr">
        <is>
          <t>A-38</t>
        </is>
      </c>
      <c r="M43" s="10" t="inlineStr">
        <is>
          <t>Live UAT portal</t>
        </is>
      </c>
      <c r="N43" s="14" t="inlineStr">
        <is>
          <t>Gap closed</t>
        </is>
      </c>
    </row>
    <row r="44">
      <c r="A44" s="12" t="inlineStr">
        <is>
          <t>New hire</t>
        </is>
      </c>
      <c r="B44" s="12" t="inlineStr">
        <is>
          <t>NH-EQ</t>
        </is>
      </c>
      <c r="C44" s="12" t="inlineStr">
        <is>
          <t>Choose your workspace accessories</t>
        </is>
      </c>
      <c r="D44" s="12" t="inlineStr">
        <is>
          <t>#/equipment</t>
        </is>
      </c>
      <c r="E44" s="12" t="inlineStr">
        <is>
          <t>Shipping</t>
        </is>
      </c>
      <c r="F44" s="12" t="inlineStr">
        <is>
          <t>Phone number for the courier (with country code)</t>
        </is>
      </c>
      <c r="G44" s="12" t="inlineStr">
        <is>
          <t>Phone</t>
        </is>
      </c>
      <c r="H44" s="12" t="inlineStr">
        <is>
          <t>Yes</t>
        </is>
      </c>
      <c r="I44" s="12" t="inlineStr">
        <is>
          <t>Blank</t>
        </is>
      </c>
      <c r="J44" s="12" t="inlineStr">
        <is>
          <t>Order cannot be submitted without it.</t>
        </is>
      </c>
      <c r="K44" s="12" t="inlineStr">
        <is>
          <t>—</t>
        </is>
      </c>
      <c r="L44" s="12" t="inlineStr">
        <is>
          <t>A-38</t>
        </is>
      </c>
      <c r="M44" s="12" t="inlineStr">
        <is>
          <t>Live UAT portal</t>
        </is>
      </c>
      <c r="N44" s="14" t="inlineStr">
        <is>
          <t>Gap closed</t>
        </is>
      </c>
    </row>
    <row r="45">
      <c r="A45" s="10" t="inlineStr">
        <is>
          <t>New hire</t>
        </is>
      </c>
      <c r="B45" s="10" t="inlineStr">
        <is>
          <t>NH-EQ</t>
        </is>
      </c>
      <c r="C45" s="10" t="inlineStr">
        <is>
          <t>Choose your workspace accessories</t>
        </is>
      </c>
      <c r="D45" s="10" t="inlineStr">
        <is>
          <t>#/equipment</t>
        </is>
      </c>
      <c r="E45" s="10" t="inlineStr">
        <is>
          <t>Downstream</t>
        </is>
      </c>
      <c r="F45" s="10" t="inlineStr">
        <is>
          <t>INC to Global Helpdesk Tier 2 + Accessories Details.csv</t>
        </is>
      </c>
      <c r="G45" s="10" t="inlineStr">
        <is>
          <t>Display</t>
        </is>
      </c>
      <c r="H45" s="10" t="inlineStr">
        <is>
          <t>n/a</t>
        </is>
      </c>
      <c r="I45" s="10" t="inlineStr">
        <is>
          <t>System</t>
        </is>
      </c>
      <c r="J45" s="10" t="inlineStr">
        <is>
          <t>Incident, not a request item.</t>
        </is>
      </c>
      <c r="K45" s="10" t="inlineStr">
        <is>
          <t>HM H-00</t>
        </is>
      </c>
      <c r="L45" s="10" t="inlineStr">
        <is>
          <t>A-42</t>
        </is>
      </c>
      <c r="M45" s="10" t="inlineStr">
        <is>
          <t>Live UAT portal</t>
        </is>
      </c>
      <c r="N45" s="14" t="inlineStr">
        <is>
          <t>Gap closed</t>
        </is>
      </c>
    </row>
    <row r="46">
      <c r="A46" s="12" t="inlineStr">
        <is>
          <t>New hire</t>
        </is>
      </c>
      <c r="B46" s="12" t="inlineStr">
        <is>
          <t>NH-EQ</t>
        </is>
      </c>
      <c r="C46" s="12" t="inlineStr">
        <is>
          <t>Choose your workspace accessories</t>
        </is>
      </c>
      <c r="D46" s="12" t="inlineStr">
        <is>
          <t>#/equipment</t>
        </is>
      </c>
      <c r="E46" s="12" t="inlineStr">
        <is>
          <t>Downstream</t>
        </is>
      </c>
      <c r="F46" s="12" t="inlineStr">
        <is>
          <t>Comment thread + explicit 'Change my order'</t>
        </is>
      </c>
      <c r="G46" s="12" t="inlineStr">
        <is>
          <t>Input + action</t>
        </is>
      </c>
      <c r="H46" s="12" t="inlineStr">
        <is>
          <t>No</t>
        </is>
      </c>
      <c r="I46" s="12" t="inlineStr">
        <is>
          <t>—</t>
        </is>
      </c>
      <c r="J46" s="12" t="inlineStr">
        <is>
          <t>Supports the observed amendment-by-comment behaviour.</t>
        </is>
      </c>
      <c r="K46" s="12" t="inlineStr">
        <is>
          <t>—</t>
        </is>
      </c>
      <c r="L46" s="12" t="inlineStr">
        <is>
          <t>A-42</t>
        </is>
      </c>
      <c r="M46" s="12" t="inlineStr">
        <is>
          <t>Live UAT portal</t>
        </is>
      </c>
      <c r="N46" s="14" t="inlineStr">
        <is>
          <t>Gap closed</t>
        </is>
      </c>
    </row>
    <row r="47">
      <c r="A47" s="10" t="inlineStr">
        <is>
          <t>New hire</t>
        </is>
      </c>
      <c r="B47" s="10" t="inlineStr">
        <is>
          <t>P-01a</t>
        </is>
      </c>
      <c r="C47" s="10" t="inlineStr">
        <is>
          <t>Personal details — Tab 1 Details</t>
        </is>
      </c>
      <c r="D47" s="10" t="inlineStr">
        <is>
          <t>#/details</t>
        </is>
      </c>
      <c r="E47" s="10" t="inlineStr">
        <is>
          <t>Legal name</t>
        </is>
      </c>
      <c r="F47" s="10" t="inlineStr">
        <is>
          <t>Legal first name</t>
        </is>
      </c>
      <c r="G47" s="10" t="inlineStr">
        <is>
          <t>Single line text</t>
        </is>
      </c>
      <c r="H47" s="10" t="inlineStr">
        <is>
          <t>Yes</t>
        </is>
      </c>
      <c r="I47" s="10" t="inlineStr">
        <is>
          <t>Offer record (attested)</t>
        </is>
      </c>
      <c r="J47" s="10" t="inlineStr">
        <is>
          <t>Pre-fill visually distinguished.</t>
        </is>
      </c>
      <c r="K47" s="10" t="inlineStr">
        <is>
          <t>HM (not visible)</t>
        </is>
      </c>
      <c r="L47" s="10" t="inlineStr">
        <is>
          <t>A-01</t>
        </is>
      </c>
      <c r="M47" s="10" t="inlineStr">
        <is>
          <t>NH Fields P-01a.1</t>
        </is>
      </c>
      <c r="N47" s="13" t="inlineStr">
        <is>
          <t>Aligned</t>
        </is>
      </c>
    </row>
    <row r="48">
      <c r="A48" s="12" t="inlineStr">
        <is>
          <t>New hire</t>
        </is>
      </c>
      <c r="B48" s="12" t="inlineStr">
        <is>
          <t>P-01a</t>
        </is>
      </c>
      <c r="C48" s="12" t="inlineStr">
        <is>
          <t>Personal details — Tab 1 Details</t>
        </is>
      </c>
      <c r="D48" s="12" t="inlineStr">
        <is>
          <t>#/details</t>
        </is>
      </c>
      <c r="E48" s="12" t="inlineStr">
        <is>
          <t>Legal name</t>
        </is>
      </c>
      <c r="F48" s="12" t="inlineStr">
        <is>
          <t>Legal middle name</t>
        </is>
      </c>
      <c r="G48" s="12" t="inlineStr">
        <is>
          <t>Single line text</t>
        </is>
      </c>
      <c r="H48" s="12" t="inlineStr">
        <is>
          <t>No</t>
        </is>
      </c>
      <c r="I48" s="12" t="inlineStr">
        <is>
          <t>Offer record</t>
        </is>
      </c>
      <c r="J48" s="12" t="inlineStr">
        <is>
          <t>—</t>
        </is>
      </c>
      <c r="K48" s="12" t="inlineStr">
        <is>
          <t>—</t>
        </is>
      </c>
      <c r="L48" s="12" t="inlineStr">
        <is>
          <t>A-01</t>
        </is>
      </c>
      <c r="M48" s="12" t="inlineStr">
        <is>
          <t>NH Fields P-01a.2</t>
        </is>
      </c>
      <c r="N48" s="13" t="inlineStr">
        <is>
          <t>Aligned</t>
        </is>
      </c>
    </row>
    <row r="49">
      <c r="A49" s="10" t="inlineStr">
        <is>
          <t>New hire</t>
        </is>
      </c>
      <c r="B49" s="10" t="inlineStr">
        <is>
          <t>P-01a</t>
        </is>
      </c>
      <c r="C49" s="10" t="inlineStr">
        <is>
          <t>Personal details — Tab 1 Details</t>
        </is>
      </c>
      <c r="D49" s="10" t="inlineStr">
        <is>
          <t>#/details</t>
        </is>
      </c>
      <c r="E49" s="10" t="inlineStr">
        <is>
          <t>Legal name</t>
        </is>
      </c>
      <c r="F49" s="10" t="inlineStr">
        <is>
          <t>Legal last name</t>
        </is>
      </c>
      <c r="G49" s="10" t="inlineStr">
        <is>
          <t>Single line text</t>
        </is>
      </c>
      <c r="H49" s="10" t="inlineStr">
        <is>
          <t>Yes</t>
        </is>
      </c>
      <c r="I49" s="10" t="inlineStr">
        <is>
          <t>Offer record (attested)</t>
        </is>
      </c>
      <c r="J49" s="10" t="inlineStr">
        <is>
          <t>—</t>
        </is>
      </c>
      <c r="K49" s="10" t="inlineStr">
        <is>
          <t>—</t>
        </is>
      </c>
      <c r="L49" s="10" t="inlineStr">
        <is>
          <t>A-01</t>
        </is>
      </c>
      <c r="M49" s="10" t="inlineStr">
        <is>
          <t>NH Fields P-01a.3</t>
        </is>
      </c>
      <c r="N49" s="13" t="inlineStr">
        <is>
          <t>Aligned</t>
        </is>
      </c>
    </row>
    <row r="50">
      <c r="A50" s="12" t="inlineStr">
        <is>
          <t>New hire</t>
        </is>
      </c>
      <c r="B50" s="12" t="inlineStr">
        <is>
          <t>P-01a</t>
        </is>
      </c>
      <c r="C50" s="12" t="inlineStr">
        <is>
          <t>Personal details — Tab 1 Details</t>
        </is>
      </c>
      <c r="D50" s="12" t="inlineStr">
        <is>
          <t>#/details</t>
        </is>
      </c>
      <c r="E50" s="12" t="inlineStr">
        <is>
          <t>Legal name</t>
        </is>
      </c>
      <c r="F50" s="12" t="inlineStr">
        <is>
          <t>Preferred name</t>
        </is>
      </c>
      <c r="G50" s="12" t="inlineStr">
        <is>
          <t>Single line text</t>
        </is>
      </c>
      <c r="H50" s="12" t="inlineStr">
        <is>
          <t>No</t>
        </is>
      </c>
      <c r="I50" s="12" t="inlineStr">
        <is>
          <t>Blank</t>
        </is>
      </c>
      <c r="J50" s="12" t="inlineStr">
        <is>
          <t>Blank falls back to legal first name.</t>
        </is>
      </c>
      <c r="K50" s="12" t="inlineStr">
        <is>
          <t>—</t>
        </is>
      </c>
      <c r="L50" s="12" t="inlineStr">
        <is>
          <t>—</t>
        </is>
      </c>
      <c r="M50" s="12" t="inlineStr">
        <is>
          <t>NH Fields P-01a.4</t>
        </is>
      </c>
      <c r="N50" s="13" t="inlineStr">
        <is>
          <t>Aligned</t>
        </is>
      </c>
    </row>
    <row r="51">
      <c r="A51" s="10" t="inlineStr">
        <is>
          <t>New hire</t>
        </is>
      </c>
      <c r="B51" s="10" t="inlineStr">
        <is>
          <t>P-01a</t>
        </is>
      </c>
      <c r="C51" s="10" t="inlineStr">
        <is>
          <t>Personal details — Tab 1 Details</t>
        </is>
      </c>
      <c r="D51" s="10" t="inlineStr">
        <is>
          <t>#/details</t>
        </is>
      </c>
      <c r="E51" s="10" t="inlineStr">
        <is>
          <t>Legal name</t>
        </is>
      </c>
      <c r="F51" s="10" t="inlineStr">
        <is>
          <t>Pronouns</t>
        </is>
      </c>
      <c r="G51" s="10" t="inlineStr">
        <is>
          <t>Single line text</t>
        </is>
      </c>
      <c r="H51" s="10" t="inlineStr">
        <is>
          <t>No</t>
        </is>
      </c>
      <c r="I51" s="10" t="inlineStr">
        <is>
          <t>Blank</t>
        </is>
      </c>
      <c r="J51" s="10" t="inlineStr">
        <is>
          <t>Not named in any source; needs a worker-record target.</t>
        </is>
      </c>
      <c r="K51" s="10" t="inlineStr">
        <is>
          <t>—</t>
        </is>
      </c>
      <c r="L51" s="10" t="inlineStr">
        <is>
          <t>A-04</t>
        </is>
      </c>
      <c r="M51" s="10" t="inlineStr">
        <is>
          <t>NH OI-17</t>
        </is>
      </c>
      <c r="N51" s="15" t="inlineStr">
        <is>
          <t>Open</t>
        </is>
      </c>
    </row>
    <row r="52">
      <c r="A52" s="12" t="inlineStr">
        <is>
          <t>New hire</t>
        </is>
      </c>
      <c r="B52" s="12" t="inlineStr">
        <is>
          <t>P-01a</t>
        </is>
      </c>
      <c r="C52" s="12" t="inlineStr">
        <is>
          <t>Personal details — Tab 1 Details</t>
        </is>
      </c>
      <c r="D52" s="12" t="inlineStr">
        <is>
          <t>#/details</t>
        </is>
      </c>
      <c r="E52" s="12" t="inlineStr">
        <is>
          <t>Residence</t>
        </is>
      </c>
      <c r="F52" s="12" t="inlineStr">
        <is>
          <t>Country of hire (read-only) + 'this isn't right'</t>
        </is>
      </c>
      <c r="G52" s="12" t="inlineStr">
        <is>
          <t>Read-only + action</t>
        </is>
      </c>
      <c r="H52" s="12" t="inlineStr">
        <is>
          <t>Yes</t>
        </is>
      </c>
      <c r="I52" s="12" t="inlineStr">
        <is>
          <t>Offer record</t>
        </is>
      </c>
      <c r="J52" s="12" t="inlineStr">
        <is>
          <t>Master conditional driver. Query path instead of edit.</t>
        </is>
      </c>
      <c r="K52" s="12" t="inlineStr">
        <is>
          <t>Drives P-05 + address format</t>
        </is>
      </c>
      <c r="L52" s="12" t="inlineStr">
        <is>
          <t>—</t>
        </is>
      </c>
      <c r="M52" s="12" t="inlineStr">
        <is>
          <t>NH Fields P-01a.6</t>
        </is>
      </c>
      <c r="N52" s="13" t="inlineStr">
        <is>
          <t>Aligned</t>
        </is>
      </c>
    </row>
    <row r="53">
      <c r="A53" s="10" t="inlineStr">
        <is>
          <t>New hire</t>
        </is>
      </c>
      <c r="B53" s="10" t="inlineStr">
        <is>
          <t>P-01a</t>
        </is>
      </c>
      <c r="C53" s="10" t="inlineStr">
        <is>
          <t>Personal details — Tab 1 Details</t>
        </is>
      </c>
      <c r="D53" s="10" t="inlineStr">
        <is>
          <t>#/details</t>
        </is>
      </c>
      <c r="E53" s="10" t="inlineStr">
        <is>
          <t>Identity</t>
        </is>
      </c>
      <c r="F53" s="10" t="inlineStr">
        <is>
          <t>Which document are you sending us?</t>
        </is>
      </c>
      <c r="G53" s="10" t="inlineStr">
        <is>
          <t>Select</t>
        </is>
      </c>
      <c r="H53" s="10" t="inlineStr">
        <is>
          <t>No</t>
        </is>
      </c>
      <c r="I53" s="10" t="inlineStr">
        <is>
          <t>Country of hire</t>
        </is>
      </c>
      <c r="J53" s="10" t="inlineStr">
        <is>
          <t>US and Japan lists differ. Illustrative, not legally checked.</t>
        </is>
      </c>
      <c r="K53" s="10" t="inlineStr">
        <is>
          <t>Right to work task</t>
        </is>
      </c>
      <c r="L53" s="10" t="inlineStr">
        <is>
          <t>A-29 / A-30</t>
        </is>
      </c>
      <c r="M53" s="10" t="inlineStr">
        <is>
          <t>PRIOR change request</t>
        </is>
      </c>
      <c r="N53" s="15" t="inlineStr">
        <is>
          <t>Open — see Alignment G-08</t>
        </is>
      </c>
    </row>
    <row r="54">
      <c r="A54" s="12" t="inlineStr">
        <is>
          <t>New hire</t>
        </is>
      </c>
      <c r="B54" s="12" t="inlineStr">
        <is>
          <t>P-01a</t>
        </is>
      </c>
      <c r="C54" s="12" t="inlineStr">
        <is>
          <t>Personal details — Tab 1 Details</t>
        </is>
      </c>
      <c r="D54" s="12" t="inlineStr">
        <is>
          <t>#/details</t>
        </is>
      </c>
      <c r="E54" s="12" t="inlineStr">
        <is>
          <t>Identity</t>
        </is>
      </c>
      <c r="F54" s="12" t="inlineStr">
        <is>
          <t>What to photograph (per document)</t>
        </is>
      </c>
      <c r="G54" s="12" t="inlineStr">
        <is>
          <t>Display</t>
        </is>
      </c>
      <c r="H54" s="12" t="inlineStr">
        <is>
          <t>n/a</t>
        </is>
      </c>
      <c r="I54" s="12" t="inlineStr">
        <is>
          <t>—</t>
        </is>
      </c>
      <c r="J54" s="12" t="inlineStr">
        <is>
          <t>One line, revealed by the selection.</t>
        </is>
      </c>
      <c r="K54" s="12" t="inlineStr">
        <is>
          <t>—</t>
        </is>
      </c>
      <c r="L54" s="12" t="inlineStr">
        <is>
          <t>A-30</t>
        </is>
      </c>
      <c r="M54" s="12" t="inlineStr">
        <is>
          <t>PRIOR change request</t>
        </is>
      </c>
      <c r="N54" s="15" t="inlineStr">
        <is>
          <t>Open</t>
        </is>
      </c>
    </row>
    <row r="55">
      <c r="A55" s="10" t="inlineStr">
        <is>
          <t>New hire</t>
        </is>
      </c>
      <c r="B55" s="10" t="inlineStr">
        <is>
          <t>P-01a</t>
        </is>
      </c>
      <c r="C55" s="10" t="inlineStr">
        <is>
          <t>Personal details — Tab 1 Details</t>
        </is>
      </c>
      <c r="D55" s="10" t="inlineStr">
        <is>
          <t>#/details</t>
        </is>
      </c>
      <c r="E55" s="10" t="inlineStr">
        <is>
          <t>Identity</t>
        </is>
      </c>
      <c r="F55" s="10" t="inlineStr">
        <is>
          <t>Upload area + confirmed state (filename, who can see it)</t>
        </is>
      </c>
      <c r="G55" s="10" t="inlineStr">
        <is>
          <t>Attachment</t>
        </is>
      </c>
      <c r="H55" s="10" t="inlineStr">
        <is>
          <t>No</t>
        </is>
      </c>
      <c r="I55" s="10" t="inlineStr">
        <is>
          <t>Blank</t>
        </is>
      </c>
      <c r="J55" s="10" t="inlineStr">
        <is>
          <t>Names the audience: HR Ops and the right-to-work reviewer only.</t>
        </is>
      </c>
      <c r="K55" s="10" t="inlineStr">
        <is>
          <t>HM cannot see it</t>
        </is>
      </c>
      <c r="L55" s="10" t="inlineStr">
        <is>
          <t>A-29 / M-03</t>
        </is>
      </c>
      <c r="M55" s="10" t="inlineStr">
        <is>
          <t>PRIOR change request</t>
        </is>
      </c>
      <c r="N55" s="15" t="inlineStr">
        <is>
          <t>Open</t>
        </is>
      </c>
    </row>
    <row r="56">
      <c r="A56" s="12" t="inlineStr">
        <is>
          <t>New hire</t>
        </is>
      </c>
      <c r="B56" s="12" t="inlineStr">
        <is>
          <t>P-01a</t>
        </is>
      </c>
      <c r="C56" s="12" t="inlineStr">
        <is>
          <t>Personal details — Tab 1 Details</t>
        </is>
      </c>
      <c r="D56" s="12" t="inlineStr">
        <is>
          <t>#/details</t>
        </is>
      </c>
      <c r="E56" s="12" t="inlineStr">
        <is>
          <t>Home address</t>
        </is>
      </c>
      <c r="F56" s="12" t="inlineStr">
        <is>
          <t>Address line 1 / line 2 / city / state / ZIP</t>
        </is>
      </c>
      <c r="G56" s="12" t="inlineStr">
        <is>
          <t>Text ×5</t>
        </is>
      </c>
      <c r="H56" s="12" t="inlineStr">
        <is>
          <t>Yes (2 optional)</t>
        </is>
      </c>
      <c r="I56" s="12" t="inlineStr">
        <is>
          <t>Blank</t>
        </is>
      </c>
      <c r="J56" s="12" t="inlineStr">
        <is>
          <t>Field labels and format follow country of hire. Verified state on completion.</t>
        </is>
      </c>
      <c r="K56" s="12" t="inlineStr">
        <is>
          <t>Equipment ship-to</t>
        </is>
      </c>
      <c r="L56" s="12" t="inlineStr">
        <is>
          <t>A-38</t>
        </is>
      </c>
      <c r="M56" s="12" t="inlineStr">
        <is>
          <t>NH Fields P-01a.7-11</t>
        </is>
      </c>
      <c r="N56" s="13" t="inlineStr">
        <is>
          <t>Aligned</t>
        </is>
      </c>
    </row>
    <row r="57">
      <c r="A57" s="10" t="inlineStr">
        <is>
          <t>New hire</t>
        </is>
      </c>
      <c r="B57" s="10" t="inlineStr">
        <is>
          <t>P-01a</t>
        </is>
      </c>
      <c r="C57" s="10" t="inlineStr">
        <is>
          <t>Personal details — Tab 1 Details</t>
        </is>
      </c>
      <c r="D57" s="10" t="inlineStr">
        <is>
          <t>#/details</t>
        </is>
      </c>
      <c r="E57" s="10" t="inlineStr">
        <is>
          <t>Contact</t>
        </is>
      </c>
      <c r="F57" s="10" t="inlineStr">
        <is>
          <t>Personal email</t>
        </is>
      </c>
      <c r="G57" s="10" t="inlineStr">
        <is>
          <t>Email</t>
        </is>
      </c>
      <c r="H57" s="10" t="inlineStr">
        <is>
          <t>Yes</t>
        </is>
      </c>
      <c r="I57" s="10" t="inlineStr">
        <is>
          <t>Candidate profile</t>
        </is>
      </c>
      <c r="J57" s="10" t="inlineStr">
        <is>
          <t>Used only until the Equinix account is active.</t>
        </is>
      </c>
      <c r="K57" s="10" t="inlineStr">
        <is>
          <t>—</t>
        </is>
      </c>
      <c r="L57" s="10" t="inlineStr">
        <is>
          <t>A-01</t>
        </is>
      </c>
      <c r="M57" s="10" t="inlineStr">
        <is>
          <t>NH Fields P-01a.13</t>
        </is>
      </c>
      <c r="N57" s="13" t="inlineStr">
        <is>
          <t>Aligned</t>
        </is>
      </c>
    </row>
    <row r="58">
      <c r="A58" s="12" t="inlineStr">
        <is>
          <t>New hire</t>
        </is>
      </c>
      <c r="B58" s="12" t="inlineStr">
        <is>
          <t>P-01a</t>
        </is>
      </c>
      <c r="C58" s="12" t="inlineStr">
        <is>
          <t>Personal details — Tab 1 Details</t>
        </is>
      </c>
      <c r="D58" s="12" t="inlineStr">
        <is>
          <t>#/details</t>
        </is>
      </c>
      <c r="E58" s="12" t="inlineStr">
        <is>
          <t>Contact</t>
        </is>
      </c>
      <c r="F58" s="12" t="inlineStr">
        <is>
          <t>Mobile — country code + number</t>
        </is>
      </c>
      <c r="G58" s="12" t="inlineStr">
        <is>
          <t>Select + phone</t>
        </is>
      </c>
      <c r="H58" s="12" t="inlineStr">
        <is>
          <t>Yes</t>
        </is>
      </c>
      <c r="I58" s="12" t="inlineStr">
        <is>
          <t>Offer record</t>
        </is>
      </c>
      <c r="J58" s="12" t="inlineStr">
        <is>
          <t>Country code derived from country of hire.</t>
        </is>
      </c>
      <c r="K58" s="12" t="inlineStr">
        <is>
          <t>—</t>
        </is>
      </c>
      <c r="L58" s="12" t="inlineStr">
        <is>
          <t>A-01</t>
        </is>
      </c>
      <c r="M58" s="12" t="inlineStr">
        <is>
          <t>NH Fields P-01a.14-15</t>
        </is>
      </c>
      <c r="N58" s="13" t="inlineStr">
        <is>
          <t>Aligned</t>
        </is>
      </c>
    </row>
    <row r="59">
      <c r="A59" s="10" t="inlineStr">
        <is>
          <t>New hire</t>
        </is>
      </c>
      <c r="B59" s="10" t="inlineStr">
        <is>
          <t>P-01b</t>
        </is>
      </c>
      <c r="C59" s="10" t="inlineStr">
        <is>
          <t>Personal details — Tab 2 Emergency contact</t>
        </is>
      </c>
      <c r="D59" s="10" t="inlineStr">
        <is>
          <t>#/details</t>
        </is>
      </c>
      <c r="E59" s="10" t="inlineStr">
        <is>
          <t>Contact 1</t>
        </is>
      </c>
      <c r="F59" s="10" t="inlineStr">
        <is>
          <t>Full name</t>
        </is>
      </c>
      <c r="G59" s="10" t="inlineStr">
        <is>
          <t>Single line text</t>
        </is>
      </c>
      <c r="H59" s="10" t="inlineStr">
        <is>
          <t>Yes</t>
        </is>
      </c>
      <c r="I59" s="10" t="inlineStr">
        <is>
          <t>Blank</t>
        </is>
      </c>
      <c r="J59" s="10" t="inlineStr">
        <is>
          <t>—</t>
        </is>
      </c>
      <c r="K59" s="10" t="inlineStr">
        <is>
          <t>—</t>
        </is>
      </c>
      <c r="L59" s="10" t="inlineStr">
        <is>
          <t>A-08</t>
        </is>
      </c>
      <c r="M59" s="10" t="inlineStr">
        <is>
          <t>NH Fields P-01b.1</t>
        </is>
      </c>
      <c r="N59" s="13" t="inlineStr">
        <is>
          <t>Aligned</t>
        </is>
      </c>
    </row>
    <row r="60">
      <c r="A60" s="12" t="inlineStr">
        <is>
          <t>New hire</t>
        </is>
      </c>
      <c r="B60" s="12" t="inlineStr">
        <is>
          <t>P-01b</t>
        </is>
      </c>
      <c r="C60" s="12" t="inlineStr">
        <is>
          <t>Personal details — Tab 2 Emergency contact</t>
        </is>
      </c>
      <c r="D60" s="12" t="inlineStr">
        <is>
          <t>#/details</t>
        </is>
      </c>
      <c r="E60" s="12" t="inlineStr">
        <is>
          <t>Contact 1</t>
        </is>
      </c>
      <c r="F60" s="12" t="inlineStr">
        <is>
          <t>Relationship (with 'Other')</t>
        </is>
      </c>
      <c r="G60" s="12" t="inlineStr">
        <is>
          <t>Select</t>
        </is>
      </c>
      <c r="H60" s="12" t="inlineStr">
        <is>
          <t>Yes</t>
        </is>
      </c>
      <c r="I60" s="12" t="inlineStr">
        <is>
          <t>Blank</t>
        </is>
      </c>
      <c r="J60" s="12" t="inlineStr">
        <is>
          <t>'Other' reveals a free-text field.</t>
        </is>
      </c>
      <c r="K60" s="12" t="inlineStr">
        <is>
          <t>—</t>
        </is>
      </c>
      <c r="L60" s="12" t="inlineStr">
        <is>
          <t>A-08</t>
        </is>
      </c>
      <c r="M60" s="12" t="inlineStr">
        <is>
          <t>NH Fields P-01b.2</t>
        </is>
      </c>
      <c r="N60" s="13" t="inlineStr">
        <is>
          <t>Aligned</t>
        </is>
      </c>
    </row>
    <row r="61">
      <c r="A61" s="10" t="inlineStr">
        <is>
          <t>New hire</t>
        </is>
      </c>
      <c r="B61" s="10" t="inlineStr">
        <is>
          <t>P-01b</t>
        </is>
      </c>
      <c r="C61" s="10" t="inlineStr">
        <is>
          <t>Personal details — Tab 2 Emergency contact</t>
        </is>
      </c>
      <c r="D61" s="10" t="inlineStr">
        <is>
          <t>#/details</t>
        </is>
      </c>
      <c r="E61" s="10" t="inlineStr">
        <is>
          <t>Contact 1</t>
        </is>
      </c>
      <c r="F61" s="10" t="inlineStr">
        <is>
          <t>Primary phone / alternate phone / email</t>
        </is>
      </c>
      <c r="G61" s="10" t="inlineStr">
        <is>
          <t>Phone ×2 + email</t>
        </is>
      </c>
      <c r="H61" s="10" t="inlineStr">
        <is>
          <t>1 of 3</t>
        </is>
      </c>
      <c r="I61" s="10" t="inlineStr">
        <is>
          <t>Blank</t>
        </is>
      </c>
      <c r="J61" s="10" t="inlineStr">
        <is>
          <t>Only primary phone required.</t>
        </is>
      </c>
      <c r="K61" s="10" t="inlineStr">
        <is>
          <t>—</t>
        </is>
      </c>
      <c r="L61" s="10" t="inlineStr">
        <is>
          <t>A-08</t>
        </is>
      </c>
      <c r="M61" s="10" t="inlineStr">
        <is>
          <t>NH Fields P-01b.3-5</t>
        </is>
      </c>
      <c r="N61" s="13" t="inlineStr">
        <is>
          <t>Aligned</t>
        </is>
      </c>
    </row>
    <row r="62">
      <c r="A62" s="12" t="inlineStr">
        <is>
          <t>New hire</t>
        </is>
      </c>
      <c r="B62" s="12" t="inlineStr">
        <is>
          <t>P-01b</t>
        </is>
      </c>
      <c r="C62" s="12" t="inlineStr">
        <is>
          <t>Personal details — Tab 2 Emergency contact</t>
        </is>
      </c>
      <c r="D62" s="12" t="inlineStr">
        <is>
          <t>#/details</t>
        </is>
      </c>
      <c r="E62" s="12" t="inlineStr">
        <is>
          <t>Contact 2</t>
        </is>
      </c>
      <c r="F62" s="12" t="inlineStr">
        <is>
          <t>Add another contact (collapsible, removable)</t>
        </is>
      </c>
      <c r="G62" s="12" t="inlineStr">
        <is>
          <t>Action + field set</t>
        </is>
      </c>
      <c r="H62" s="12" t="inlineStr">
        <is>
          <t>No</t>
        </is>
      </c>
      <c r="I62" s="12" t="inlineStr">
        <is>
          <t>Blank</t>
        </is>
      </c>
      <c r="J62" s="12" t="inlineStr">
        <is>
          <t>Duplicates the full contact 1 set.</t>
        </is>
      </c>
      <c r="K62" s="12" t="inlineStr">
        <is>
          <t>—</t>
        </is>
      </c>
      <c r="L62" s="12" t="inlineStr">
        <is>
          <t>A-08</t>
        </is>
      </c>
      <c r="M62" s="12" t="inlineStr">
        <is>
          <t>NH OI-19</t>
        </is>
      </c>
      <c r="N62" s="15" t="inlineStr">
        <is>
          <t>Open</t>
        </is>
      </c>
    </row>
    <row r="63">
      <c r="A63" s="10" t="inlineStr">
        <is>
          <t>New hire</t>
        </is>
      </c>
      <c r="B63" s="10" t="inlineStr">
        <is>
          <t>P-01c</t>
        </is>
      </c>
      <c r="C63" s="10" t="inlineStr">
        <is>
          <t>Personal details — Tab 3 Preferences</t>
        </is>
      </c>
      <c r="D63" s="10" t="inlineStr">
        <is>
          <t>#/details</t>
        </is>
      </c>
      <c r="E63" s="10" t="inlineStr">
        <is>
          <t>Contact preferences</t>
        </is>
      </c>
      <c r="F63" s="10" t="inlineStr">
        <is>
          <t>Preferred channel (email / text / either)</t>
        </is>
      </c>
      <c r="G63" s="10" t="inlineStr">
        <is>
          <t>Radio</t>
        </is>
      </c>
      <c r="H63" s="10" t="inlineStr">
        <is>
          <t>Yes</t>
        </is>
      </c>
      <c r="I63" s="10" t="inlineStr">
        <is>
          <t>Blank</t>
        </is>
      </c>
      <c r="J63" s="10" t="inlineStr">
        <is>
          <t>Named in the source with no definition.</t>
        </is>
      </c>
      <c r="K63" s="10" t="inlineStr">
        <is>
          <t>—</t>
        </is>
      </c>
      <c r="L63" s="10" t="inlineStr">
        <is>
          <t>A-05</t>
        </is>
      </c>
      <c r="M63" s="10" t="inlineStr">
        <is>
          <t>NH OI-18</t>
        </is>
      </c>
      <c r="N63" s="15" t="inlineStr">
        <is>
          <t>Open</t>
        </is>
      </c>
    </row>
    <row r="64">
      <c r="A64" s="12" t="inlineStr">
        <is>
          <t>New hire</t>
        </is>
      </c>
      <c r="B64" s="12" t="inlineStr">
        <is>
          <t>P-01c</t>
        </is>
      </c>
      <c r="C64" s="12" t="inlineStr">
        <is>
          <t>Personal details — Tab 3 Preferences</t>
        </is>
      </c>
      <c r="D64" s="12" t="inlineStr">
        <is>
          <t>#/details</t>
        </is>
      </c>
      <c r="E64" s="12" t="inlineStr">
        <is>
          <t>Contact preferences</t>
        </is>
      </c>
      <c r="F64" s="12" t="inlineStr">
        <is>
          <t>Opt-in for non-essential updates</t>
        </is>
      </c>
      <c r="G64" s="12" t="inlineStr">
        <is>
          <t>Checkbox</t>
        </is>
      </c>
      <c r="H64" s="12" t="inlineStr">
        <is>
          <t>No</t>
        </is>
      </c>
      <c r="I64" s="12" t="inlineStr">
        <is>
          <t>Unchecked</t>
        </is>
      </c>
      <c r="J64" s="12" t="inlineStr">
        <is>
          <t>—</t>
        </is>
      </c>
      <c r="K64" s="12" t="inlineStr">
        <is>
          <t>—</t>
        </is>
      </c>
      <c r="L64" s="12" t="inlineStr">
        <is>
          <t>A-05</t>
        </is>
      </c>
      <c r="M64" s="12" t="inlineStr">
        <is>
          <t>NH OI-18</t>
        </is>
      </c>
      <c r="N64" s="15" t="inlineStr">
        <is>
          <t>Open</t>
        </is>
      </c>
    </row>
    <row r="65">
      <c r="A65" s="10" t="inlineStr">
        <is>
          <t>New hire</t>
        </is>
      </c>
      <c r="B65" s="10" t="inlineStr">
        <is>
          <t>P-01c</t>
        </is>
      </c>
      <c r="C65" s="10" t="inlineStr">
        <is>
          <t>Personal details — Tab 3 Preferences</t>
        </is>
      </c>
      <c r="D65" s="10" t="inlineStr">
        <is>
          <t>#/details</t>
        </is>
      </c>
      <c r="E65" s="10" t="inlineStr">
        <is>
          <t>Adjustments</t>
        </is>
      </c>
      <c r="F65" s="10" t="inlineStr">
        <is>
          <t>Workplace adjustments free text</t>
        </is>
      </c>
      <c r="G65" s="10" t="inlineStr">
        <is>
          <t>Multi line text</t>
        </is>
      </c>
      <c r="H65" s="10" t="inlineStr">
        <is>
          <t>No</t>
        </is>
      </c>
      <c r="I65" s="10" t="inlineStr">
        <is>
          <t>Blank</t>
        </is>
      </c>
      <c r="J65" s="10" t="inlineStr">
        <is>
          <t>Always visible, never demanded.</t>
        </is>
      </c>
      <c r="K65" s="10" t="inlineStr">
        <is>
          <t>Equipment screen link</t>
        </is>
      </c>
      <c r="L65" s="10" t="inlineStr">
        <is>
          <t>A-06</t>
        </is>
      </c>
      <c r="M65" s="10" t="inlineStr">
        <is>
          <t>BTR accommodation capture</t>
        </is>
      </c>
      <c r="N65" s="13" t="inlineStr">
        <is>
          <t>Aligned</t>
        </is>
      </c>
    </row>
    <row r="66">
      <c r="A66" s="12" t="inlineStr">
        <is>
          <t>New hire</t>
        </is>
      </c>
      <c r="B66" s="12" t="inlineStr">
        <is>
          <t>P-01c</t>
        </is>
      </c>
      <c r="C66" s="12" t="inlineStr">
        <is>
          <t>Personal details — Tab 3 Preferences</t>
        </is>
      </c>
      <c r="D66" s="12" t="inlineStr">
        <is>
          <t>#/details</t>
        </is>
      </c>
      <c r="E66" s="12" t="inlineStr">
        <is>
          <t>Adjustments</t>
        </is>
      </c>
      <c r="F66" s="12" t="inlineStr">
        <is>
          <t>'I'd rather discuss this privately' route</t>
        </is>
      </c>
      <c r="G66" s="12" t="inlineStr">
        <is>
          <t>Checkbox</t>
        </is>
      </c>
      <c r="H66" s="12" t="inlineStr">
        <is>
          <t>No</t>
        </is>
      </c>
      <c r="I66" s="12" t="inlineStr">
        <is>
          <t>Unchecked</t>
        </is>
      </c>
      <c r="J66" s="12" t="inlineStr">
        <is>
          <t>Routes to PEX; disables and clears the text field so nothing is stored.</t>
        </is>
      </c>
      <c r="K66" s="12" t="inlineStr">
        <is>
          <t>—</t>
        </is>
      </c>
      <c r="L66" s="12" t="inlineStr">
        <is>
          <t>A-06</t>
        </is>
      </c>
      <c r="M66" s="12" t="inlineStr">
        <is>
          <t>NH OI-23</t>
        </is>
      </c>
      <c r="N66" s="13" t="inlineStr">
        <is>
          <t>Aligned</t>
        </is>
      </c>
    </row>
    <row r="67">
      <c r="A67" s="10" t="inlineStr">
        <is>
          <t>New hire</t>
        </is>
      </c>
      <c r="B67" s="10" t="inlineStr">
        <is>
          <t>P-01c</t>
        </is>
      </c>
      <c r="C67" s="10" t="inlineStr">
        <is>
          <t>Personal details — Tab 3 Preferences</t>
        </is>
      </c>
      <c r="D67" s="10" t="inlineStr">
        <is>
          <t>#/details</t>
        </is>
      </c>
      <c r="E67" s="10" t="inlineStr">
        <is>
          <t>Self-ID</t>
        </is>
      </c>
      <c r="F67" s="10" t="inlineStr">
        <is>
          <t>Voluntary self-identification (collapsed by default)</t>
        </is>
      </c>
      <c r="G67" s="10" t="inlineStr">
        <is>
          <t>Container</t>
        </is>
      </c>
      <c r="H67" s="10" t="inlineStr">
        <is>
          <t>No</t>
        </is>
      </c>
      <c r="I67" s="10" t="inlineStr">
        <is>
          <t>Blank</t>
        </is>
      </c>
      <c r="J67" s="10" t="inlineStr">
        <is>
          <t>Four categories, every one with 'prefer not to say'. Paired with its privacy notice.</t>
        </is>
      </c>
      <c r="K67" s="10" t="inlineStr">
        <is>
          <t>P-05 Self-ID notice</t>
        </is>
      </c>
      <c r="L67" s="10" t="inlineStr">
        <is>
          <t>A-07</t>
        </is>
      </c>
      <c r="M67" s="10" t="inlineStr">
        <is>
          <t>NH OI-22</t>
        </is>
      </c>
      <c r="N67" s="15" t="inlineStr">
        <is>
          <t>Open</t>
        </is>
      </c>
    </row>
    <row r="68">
      <c r="A68" s="12" t="inlineStr">
        <is>
          <t>New hire</t>
        </is>
      </c>
      <c r="B68" s="12" t="inlineStr">
        <is>
          <t>P-01c</t>
        </is>
      </c>
      <c r="C68" s="12" t="inlineStr">
        <is>
          <t>Personal details — Tab 3 Preferences</t>
        </is>
      </c>
      <c r="D68" s="12" t="inlineStr">
        <is>
          <t>#/details</t>
        </is>
      </c>
      <c r="E68" s="12" t="inlineStr">
        <is>
          <t>Boundary</t>
        </is>
      </c>
      <c r="F68" s="12" t="inlineStr">
        <is>
          <t>Banking and direct deposit — locked card</t>
        </is>
      </c>
      <c r="G68" s="12" t="inlineStr">
        <is>
          <t>Boundary card</t>
        </is>
      </c>
      <c r="H68" s="12" t="inlineStr">
        <is>
          <t>n/a</t>
        </is>
      </c>
      <c r="I68" s="12" t="inlineStr">
        <is>
          <t>—</t>
        </is>
      </c>
      <c r="J68" s="12" t="inlineStr">
        <is>
          <t>Explains why it is elsewhere. Names tax, swag and dietary as deliberate exclusions too.</t>
        </is>
      </c>
      <c r="K68" s="12" t="inlineStr">
        <is>
          <t>—</t>
        </is>
      </c>
      <c r="L68" s="12" t="inlineStr">
        <is>
          <t>A-10 / A-11</t>
        </is>
      </c>
      <c r="M68" s="12" t="inlineStr">
        <is>
          <t>Merge Analysis 3</t>
        </is>
      </c>
      <c r="N68" s="13" t="inlineStr">
        <is>
          <t>Aligned</t>
        </is>
      </c>
    </row>
    <row r="69">
      <c r="A69" s="10" t="inlineStr">
        <is>
          <t>New hire</t>
        </is>
      </c>
      <c r="B69" s="10" t="inlineStr">
        <is>
          <t>P-01</t>
        </is>
      </c>
      <c r="C69" s="10" t="inlineStr">
        <is>
          <t>Personal details — behaviour</t>
        </is>
      </c>
      <c r="D69" s="10" t="inlineStr">
        <is>
          <t>#/details</t>
        </is>
      </c>
      <c r="E69" s="10" t="inlineStr">
        <is>
          <t>Behaviour</t>
        </is>
      </c>
      <c r="F69" s="10" t="inlineStr">
        <is>
          <t>Autosave draft with visible saved state</t>
        </is>
      </c>
      <c r="G69" s="10" t="inlineStr">
        <is>
          <t>Behaviour</t>
        </is>
      </c>
      <c r="H69" s="10" t="inlineStr">
        <is>
          <t>n/a</t>
        </is>
      </c>
      <c r="I69" s="10" t="inlineStr">
        <is>
          <t>—</t>
        </is>
      </c>
      <c r="J69" s="10" t="inlineStr">
        <is>
          <t>Survives leaving and returning.</t>
        </is>
      </c>
      <c r="K69" s="10" t="inlineStr">
        <is>
          <t>—</t>
        </is>
      </c>
      <c r="L69" s="10" t="inlineStr">
        <is>
          <t>—</t>
        </is>
      </c>
      <c r="M69" s="10" t="inlineStr">
        <is>
          <t>PRD S2-US02</t>
        </is>
      </c>
      <c r="N69" s="13" t="inlineStr">
        <is>
          <t>Aligned</t>
        </is>
      </c>
    </row>
    <row r="70">
      <c r="A70" s="12" t="inlineStr">
        <is>
          <t>New hire</t>
        </is>
      </c>
      <c r="B70" s="12" t="inlineStr">
        <is>
          <t>P-01</t>
        </is>
      </c>
      <c r="C70" s="12" t="inlineStr">
        <is>
          <t>Personal details — behaviour</t>
        </is>
      </c>
      <c r="D70" s="12" t="inlineStr">
        <is>
          <t>#/details</t>
        </is>
      </c>
      <c r="E70" s="12" t="inlineStr">
        <is>
          <t>Behaviour</t>
        </is>
      </c>
      <c r="F70" s="12" t="inlineStr">
        <is>
          <t>Inline validation on blur; per-tab completion counts</t>
        </is>
      </c>
      <c r="G70" s="12" t="inlineStr">
        <is>
          <t>Behaviour</t>
        </is>
      </c>
      <c r="H70" s="12" t="inlineStr">
        <is>
          <t>n/a</t>
        </is>
      </c>
      <c r="I70" s="12" t="inlineStr">
        <is>
          <t>—</t>
        </is>
      </c>
      <c r="J70" s="12" t="inlineStr">
        <is>
          <t>Never browser alerts. Submit names what is missing.</t>
        </is>
      </c>
      <c r="K70" s="12" t="inlineStr">
        <is>
          <t>—</t>
        </is>
      </c>
      <c r="L70" s="12" t="inlineStr">
        <is>
          <t>—</t>
        </is>
      </c>
      <c r="M70" s="12" t="inlineStr">
        <is>
          <t>PRD S2-US02</t>
        </is>
      </c>
      <c r="N70" s="13" t="inlineStr">
        <is>
          <t>Aligned</t>
        </is>
      </c>
    </row>
    <row r="71">
      <c r="A71" s="10" t="inlineStr">
        <is>
          <t>New hire</t>
        </is>
      </c>
      <c r="B71" s="10" t="inlineStr">
        <is>
          <t>P-02</t>
        </is>
      </c>
      <c r="C71" s="10" t="inlineStr">
        <is>
          <t>Review your job description</t>
        </is>
      </c>
      <c r="D71" s="10" t="inlineStr">
        <is>
          <t>#/jd</t>
        </is>
      </c>
      <c r="E71" s="10" t="inlineStr">
        <is>
          <t>Role summary</t>
        </is>
      </c>
      <c r="F71" s="10" t="inlineStr">
        <is>
          <t>Title, department, reports to, location + arrangement, employment type, start date</t>
        </is>
      </c>
      <c r="G71" s="10" t="inlineStr">
        <is>
          <t>Read-only ×6</t>
        </is>
      </c>
      <c r="H71" s="10" t="inlineStr">
        <is>
          <t>n/a</t>
        </is>
      </c>
      <c r="I71" s="10" t="inlineStr">
        <is>
          <t>Workday requisition</t>
        </is>
      </c>
      <c r="J71" s="10" t="inlineStr">
        <is>
          <t>Labelled as coming from the official record.</t>
        </is>
      </c>
      <c r="K71" s="10" t="inlineStr">
        <is>
          <t>HM sees the same record</t>
        </is>
      </c>
      <c r="L71" s="10" t="inlineStr">
        <is>
          <t>—</t>
        </is>
      </c>
      <c r="M71" s="10" t="inlineStr">
        <is>
          <t>NH Fields P-02.1-6</t>
        </is>
      </c>
      <c r="N71" s="13" t="inlineStr">
        <is>
          <t>Aligned</t>
        </is>
      </c>
    </row>
    <row r="72">
      <c r="A72" s="12" t="inlineStr">
        <is>
          <t>New hire</t>
        </is>
      </c>
      <c r="B72" s="12" t="inlineStr">
        <is>
          <t>P-02</t>
        </is>
      </c>
      <c r="C72" s="12" t="inlineStr">
        <is>
          <t>Review your job description</t>
        </is>
      </c>
      <c r="D72" s="12" t="inlineStr">
        <is>
          <t>#/jd</t>
        </is>
      </c>
      <c r="E72" s="12" t="inlineStr">
        <is>
          <t>Role summary</t>
        </is>
      </c>
      <c r="F72" s="12" t="inlineStr">
        <is>
          <t>No compensation — 'in your signed offer letter'</t>
        </is>
      </c>
      <c r="G72" s="12" t="inlineStr">
        <is>
          <t>Display</t>
        </is>
      </c>
      <c r="H72" s="12" t="inlineStr">
        <is>
          <t>n/a</t>
        </is>
      </c>
      <c r="I72" s="12" t="inlineStr">
        <is>
          <t>—</t>
        </is>
      </c>
      <c r="J72" s="12" t="inlineStr">
        <is>
          <t>Deliberate omission; page is manager-visible.</t>
        </is>
      </c>
      <c r="K72" s="12" t="inlineStr">
        <is>
          <t>—</t>
        </is>
      </c>
      <c r="L72" s="12" t="inlineStr">
        <is>
          <t>A-12</t>
        </is>
      </c>
      <c r="M72" s="12" t="inlineStr">
        <is>
          <t>NH OI-10</t>
        </is>
      </c>
      <c r="N72" s="15" t="inlineStr">
        <is>
          <t>Open</t>
        </is>
      </c>
    </row>
    <row r="73">
      <c r="A73" s="10" t="inlineStr">
        <is>
          <t>New hire</t>
        </is>
      </c>
      <c r="B73" s="10" t="inlineStr">
        <is>
          <t>P-02</t>
        </is>
      </c>
      <c r="C73" s="10" t="inlineStr">
        <is>
          <t>Review your job description</t>
        </is>
      </c>
      <c r="D73" s="10" t="inlineStr">
        <is>
          <t>#/jd</t>
        </is>
      </c>
      <c r="E73" s="10" t="inlineStr">
        <is>
          <t>Content</t>
        </is>
      </c>
      <c r="F73" s="10" t="inlineStr">
        <is>
          <t>Job description text, scrollable, placeholder-marked</t>
        </is>
      </c>
      <c r="G73" s="10" t="inlineStr">
        <is>
          <t>Read-only</t>
        </is>
      </c>
      <c r="H73" s="10" t="inlineStr">
        <is>
          <t>n/a</t>
        </is>
      </c>
      <c r="I73" s="10" t="inlineStr">
        <is>
          <t>Workday</t>
        </is>
      </c>
      <c r="J73" s="10" t="inlineStr">
        <is>
          <t>Scroll to end gates the acknowledgement.</t>
        </is>
      </c>
      <c r="K73" s="10" t="inlineStr">
        <is>
          <t>—</t>
        </is>
      </c>
      <c r="L73" s="10" t="inlineStr">
        <is>
          <t>A-13 / A-24</t>
        </is>
      </c>
      <c r="M73" s="10" t="inlineStr">
        <is>
          <t>NH Fields P-02.8</t>
        </is>
      </c>
      <c r="N73" s="15" t="inlineStr">
        <is>
          <t>Open — content needed</t>
        </is>
      </c>
    </row>
    <row r="74">
      <c r="A74" s="12" t="inlineStr">
        <is>
          <t>New hire</t>
        </is>
      </c>
      <c r="B74" s="12" t="inlineStr">
        <is>
          <t>P-02</t>
        </is>
      </c>
      <c r="C74" s="12" t="inlineStr">
        <is>
          <t>Review your job description</t>
        </is>
      </c>
      <c r="D74" s="12" t="inlineStr">
        <is>
          <t>#/jd</t>
        </is>
      </c>
      <c r="E74" s="12" t="inlineStr">
        <is>
          <t>Content</t>
        </is>
      </c>
      <c r="F74" s="12" t="inlineStr">
        <is>
          <t>Link to the official system (internal-system treatment)</t>
        </is>
      </c>
      <c r="G74" s="12" t="inlineStr">
        <is>
          <t>Link</t>
        </is>
      </c>
      <c r="H74" s="12" t="inlineStr">
        <is>
          <t>No</t>
        </is>
      </c>
      <c r="I74" s="12" t="inlineStr">
        <is>
          <t>Workday</t>
        </is>
      </c>
      <c r="J74" s="12" t="inlineStr">
        <is>
          <t>Reads as another Equinix system, not the open internet.</t>
        </is>
      </c>
      <c r="K74" s="12" t="inlineStr">
        <is>
          <t>—</t>
        </is>
      </c>
      <c r="L74" s="12" t="inlineStr">
        <is>
          <t>—</t>
        </is>
      </c>
      <c r="M74" s="12" t="inlineStr">
        <is>
          <t>Artifacts Served</t>
        </is>
      </c>
      <c r="N74" s="13" t="inlineStr">
        <is>
          <t>Aligned</t>
        </is>
      </c>
    </row>
    <row r="75">
      <c r="A75" s="10" t="inlineStr">
        <is>
          <t>New hire</t>
        </is>
      </c>
      <c r="B75" s="10" t="inlineStr">
        <is>
          <t>P-02</t>
        </is>
      </c>
      <c r="C75" s="10" t="inlineStr">
        <is>
          <t>Review your job description</t>
        </is>
      </c>
      <c r="D75" s="10" t="inlineStr">
        <is>
          <t>#/jd</t>
        </is>
      </c>
      <c r="E75" s="10" t="inlineStr">
        <is>
          <t>Team</t>
        </is>
      </c>
      <c r="F75" s="10" t="inlineStr">
        <is>
          <t>Three-level team view (manager, you, peers)</t>
        </is>
      </c>
      <c r="G75" s="10" t="inlineStr">
        <is>
          <t>Display</t>
        </is>
      </c>
      <c r="H75" s="10" t="inlineStr">
        <is>
          <t>n/a</t>
        </is>
      </c>
      <c r="I75" s="10" t="inlineStr">
        <is>
          <t>Workday org data</t>
        </is>
      </c>
      <c r="J75" s="10" t="inlineStr">
        <is>
          <t>Explicitly not the suggested network; cross-links to it.</t>
        </is>
      </c>
      <c r="K75" s="10" t="inlineStr">
        <is>
          <t>NH network screen</t>
        </is>
      </c>
      <c r="L75" s="10" t="inlineStr">
        <is>
          <t>A-13</t>
        </is>
      </c>
      <c r="M75" s="10" t="inlineStr">
        <is>
          <t>NH OI (org chart)</t>
        </is>
      </c>
      <c r="N75" s="15" t="inlineStr">
        <is>
          <t>Open — delivery undefined</t>
        </is>
      </c>
    </row>
    <row r="76">
      <c r="A76" s="12" t="inlineStr">
        <is>
          <t>New hire</t>
        </is>
      </c>
      <c r="B76" s="12" t="inlineStr">
        <is>
          <t>P-02</t>
        </is>
      </c>
      <c r="C76" s="12" t="inlineStr">
        <is>
          <t>Review your job description</t>
        </is>
      </c>
      <c r="D76" s="12" t="inlineStr">
        <is>
          <t>#/jd</t>
        </is>
      </c>
      <c r="E76" s="12" t="inlineStr">
        <is>
          <t>Confirmation</t>
        </is>
      </c>
      <c r="F76" s="12" t="inlineStr">
        <is>
          <t>'I've read my job description and confirm…'</t>
        </is>
      </c>
      <c r="G76" s="12" t="inlineStr">
        <is>
          <t>Checkbox</t>
        </is>
      </c>
      <c r="H76" s="12" t="inlineStr">
        <is>
          <t>Yes</t>
        </is>
      </c>
      <c r="I76" s="12" t="inlineStr">
        <is>
          <t>Unchecked</t>
        </is>
      </c>
      <c r="J76" s="12" t="inlineStr">
        <is>
          <t>Disabled until the description is read to the end.</t>
        </is>
      </c>
      <c r="K76" s="12" t="inlineStr">
        <is>
          <t>HM H-00 progress</t>
        </is>
      </c>
      <c r="L76" s="12" t="inlineStr">
        <is>
          <t>A-24</t>
        </is>
      </c>
      <c r="M76" s="12" t="inlineStr">
        <is>
          <t>Janine 1:1</t>
        </is>
      </c>
      <c r="N76" s="13" t="inlineStr">
        <is>
          <t>Aligned</t>
        </is>
      </c>
    </row>
    <row r="77">
      <c r="A77" s="10" t="inlineStr">
        <is>
          <t>New hire</t>
        </is>
      </c>
      <c r="B77" s="10" t="inlineStr">
        <is>
          <t>P-02</t>
        </is>
      </c>
      <c r="C77" s="10" t="inlineStr">
        <is>
          <t>Review your job description</t>
        </is>
      </c>
      <c r="D77" s="10" t="inlineStr">
        <is>
          <t>#/jd</t>
        </is>
      </c>
      <c r="E77" s="10" t="inlineStr">
        <is>
          <t>Dissent</t>
        </is>
      </c>
      <c r="F77" s="10" t="inlineStr">
        <is>
          <t>'This doesn't match what I agreed' → free text → Under review</t>
        </is>
      </c>
      <c r="G77" s="10" t="inlineStr">
        <is>
          <t>Action + text</t>
        </is>
      </c>
      <c r="H77" s="10" t="inlineStr">
        <is>
          <t>No</t>
        </is>
      </c>
      <c r="I77" s="10" t="inlineStr">
        <is>
          <t>—</t>
        </is>
      </c>
      <c r="J77" s="10" t="inlineStr">
        <is>
          <t>Hides the acknowledgement, changes the primary action, sets task to Under review.</t>
        </is>
      </c>
      <c r="K77" s="10" t="inlineStr">
        <is>
          <t>HM H-00 progress</t>
        </is>
      </c>
      <c r="L77" s="10" t="inlineStr">
        <is>
          <t>A-27</t>
        </is>
      </c>
      <c r="M77" s="10" t="inlineStr">
        <is>
          <t>PRD S1-US02 edge 4</t>
        </is>
      </c>
      <c r="N77" s="13" t="inlineStr">
        <is>
          <t>Aligned</t>
        </is>
      </c>
    </row>
    <row r="78">
      <c r="A78" s="12" t="inlineStr">
        <is>
          <t>New hire</t>
        </is>
      </c>
      <c r="B78" s="12" t="inlineStr">
        <is>
          <t>P-03</t>
        </is>
      </c>
      <c r="C78" s="12" t="inlineStr">
        <is>
          <t>Introduce yourself</t>
        </is>
      </c>
      <c r="D78" s="12" t="inlineStr">
        <is>
          <t>#/intro</t>
        </is>
      </c>
      <c r="E78" s="12" t="inlineStr">
        <is>
          <t>Introduction</t>
        </is>
      </c>
      <c r="F78" s="12" t="inlineStr">
        <is>
          <t>Free text, 500-character limit with live count</t>
        </is>
      </c>
      <c r="G78" s="12" t="inlineStr">
        <is>
          <t>Multi line text</t>
        </is>
      </c>
      <c r="H78" s="12" t="inlineStr">
        <is>
          <t>Recommended</t>
        </is>
      </c>
      <c r="I78" s="12" t="inlineStr">
        <is>
          <t>Blank</t>
        </is>
      </c>
      <c r="J78" s="12" t="inlineStr">
        <is>
          <t>Limit invented; needed because the text becomes a team post.</t>
        </is>
      </c>
      <c r="K78" s="12" t="inlineStr">
        <is>
          <t>HM forward task</t>
        </is>
      </c>
      <c r="L78" s="12" t="inlineStr">
        <is>
          <t>A-15</t>
        </is>
      </c>
      <c r="M78" s="12" t="inlineStr">
        <is>
          <t>NH OI-12</t>
        </is>
      </c>
      <c r="N78" s="15" t="inlineStr">
        <is>
          <t>Open</t>
        </is>
      </c>
    </row>
    <row r="79">
      <c r="A79" s="10" t="inlineStr">
        <is>
          <t>New hire</t>
        </is>
      </c>
      <c r="B79" s="10" t="inlineStr">
        <is>
          <t>P-03</t>
        </is>
      </c>
      <c r="C79" s="10" t="inlineStr">
        <is>
          <t>Introduce yourself</t>
        </is>
      </c>
      <c r="D79" s="10" t="inlineStr">
        <is>
          <t>#/intro</t>
        </is>
      </c>
      <c r="E79" s="10" t="inlineStr">
        <is>
          <t>Introduction</t>
        </is>
      </c>
      <c r="F79" s="10" t="inlineStr">
        <is>
          <t>Three optional prompt chips, dismissible</t>
        </is>
      </c>
      <c r="G79" s="10" t="inlineStr">
        <is>
          <t>Action ×3</t>
        </is>
      </c>
      <c r="H79" s="10" t="inlineStr">
        <is>
          <t>No</t>
        </is>
      </c>
      <c r="I79" s="10" t="inlineStr">
        <is>
          <t>—</t>
        </is>
      </c>
      <c r="J79" s="10" t="inlineStr">
        <is>
          <t>Append, never overwrite. Address blank-page hesitation.</t>
        </is>
      </c>
      <c r="K79" s="10" t="inlineStr">
        <is>
          <t>—</t>
        </is>
      </c>
      <c r="L79" s="10" t="inlineStr">
        <is>
          <t>A-15</t>
        </is>
      </c>
      <c r="M79" s="10" t="inlineStr">
        <is>
          <t>NH OI-12</t>
        </is>
      </c>
      <c r="N79" s="15" t="inlineStr">
        <is>
          <t>Open</t>
        </is>
      </c>
    </row>
    <row r="80">
      <c r="A80" s="12" t="inlineStr">
        <is>
          <t>New hire</t>
        </is>
      </c>
      <c r="B80" s="12" t="inlineStr">
        <is>
          <t>P-03</t>
        </is>
      </c>
      <c r="C80" s="12" t="inlineStr">
        <is>
          <t>Introduce yourself</t>
        </is>
      </c>
      <c r="D80" s="12" t="inlineStr">
        <is>
          <t>#/intro</t>
        </is>
      </c>
      <c r="E80" s="12" t="inlineStr">
        <is>
          <t>Introduction</t>
        </is>
      </c>
      <c r="F80" s="12" t="inlineStr">
        <is>
          <t>Manager preview panel</t>
        </is>
      </c>
      <c r="G80" s="12" t="inlineStr">
        <is>
          <t>Display</t>
        </is>
      </c>
      <c r="H80" s="12" t="inlineStr">
        <is>
          <t>n/a</t>
        </is>
      </c>
      <c r="I80" s="12" t="inlineStr">
        <is>
          <t>Live</t>
        </is>
      </c>
      <c r="J80" s="12" t="inlineStr">
        <is>
          <t>Shows how it will look when forwarded.</t>
        </is>
      </c>
      <c r="K80" s="12" t="inlineStr">
        <is>
          <t>HM H-16</t>
        </is>
      </c>
      <c r="L80" s="12" t="inlineStr">
        <is>
          <t>A-14</t>
        </is>
      </c>
      <c r="M80" s="12" t="inlineStr">
        <is>
          <t>Janine 1:1</t>
        </is>
      </c>
      <c r="N80" s="13" t="inlineStr">
        <is>
          <t>Aligned</t>
        </is>
      </c>
    </row>
    <row r="81">
      <c r="A81" s="10" t="inlineStr">
        <is>
          <t>New hire</t>
        </is>
      </c>
      <c r="B81" s="10" t="inlineStr">
        <is>
          <t>P-03</t>
        </is>
      </c>
      <c r="C81" s="10" t="inlineStr">
        <is>
          <t>Introduce yourself</t>
        </is>
      </c>
      <c r="D81" s="10" t="inlineStr">
        <is>
          <t>#/intro</t>
        </is>
      </c>
      <c r="E81" s="10" t="inlineStr">
        <is>
          <t>Introduction</t>
        </is>
      </c>
      <c r="F81" s="10" t="inlineStr">
        <is>
          <t>Explicit sharing model — manager forwards, never auto-posts</t>
        </is>
      </c>
      <c r="G81" s="10" t="inlineStr">
        <is>
          <t>Display</t>
        </is>
      </c>
      <c r="H81" s="10" t="inlineStr">
        <is>
          <t>n/a</t>
        </is>
      </c>
      <c r="I81" s="10" t="inlineStr">
        <is>
          <t>—</t>
        </is>
      </c>
      <c r="J81" s="10" t="inlineStr">
        <is>
          <t>States the model rather than implying it.</t>
        </is>
      </c>
      <c r="K81" s="10" t="inlineStr">
        <is>
          <t>HM H-16</t>
        </is>
      </c>
      <c r="L81" s="10" t="inlineStr">
        <is>
          <t>A-14</t>
        </is>
      </c>
      <c r="M81" s="10" t="inlineStr">
        <is>
          <t>NH OI-11</t>
        </is>
      </c>
      <c r="N81" s="15" t="inlineStr">
        <is>
          <t>Open</t>
        </is>
      </c>
    </row>
    <row r="82">
      <c r="A82" s="12" t="inlineStr">
        <is>
          <t>New hire</t>
        </is>
      </c>
      <c r="B82" s="12" t="inlineStr">
        <is>
          <t>P-03</t>
        </is>
      </c>
      <c r="C82" s="12" t="inlineStr">
        <is>
          <t>Introduce yourself</t>
        </is>
      </c>
      <c r="D82" s="12" t="inlineStr">
        <is>
          <t>#/intro</t>
        </is>
      </c>
      <c r="E82" s="12" t="inlineStr">
        <is>
          <t>Consent</t>
        </is>
      </c>
      <c r="F82" s="12" t="inlineStr">
        <is>
          <t>'I'm happy for my manager to share this'</t>
        </is>
      </c>
      <c r="G82" s="12" t="inlineStr">
        <is>
          <t>Checkbox</t>
        </is>
      </c>
      <c r="H82" s="12" t="inlineStr">
        <is>
          <t>Yes to share</t>
        </is>
      </c>
      <c r="I82" s="12" t="inlineStr">
        <is>
          <t>Unchecked</t>
        </is>
      </c>
      <c r="J82" s="12" t="inlineStr">
        <is>
          <t>Without it the text saves but cannot be forwarded — enforced across the join.</t>
        </is>
      </c>
      <c r="K82" s="12" t="inlineStr">
        <is>
          <t>HM H-16</t>
        </is>
      </c>
      <c r="L82" s="12" t="inlineStr">
        <is>
          <t>L-02</t>
        </is>
      </c>
      <c r="M82" s="12" t="inlineStr">
        <is>
          <t>Future State Seq 6</t>
        </is>
      </c>
      <c r="N82" s="14" t="inlineStr">
        <is>
          <t>Gap closed</t>
        </is>
      </c>
    </row>
    <row r="83">
      <c r="A83" s="10" t="inlineStr">
        <is>
          <t>New hire</t>
        </is>
      </c>
      <c r="B83" s="10" t="inlineStr">
        <is>
          <t>P-03</t>
        </is>
      </c>
      <c r="C83" s="10" t="inlineStr">
        <is>
          <t>Introduce yourself</t>
        </is>
      </c>
      <c r="D83" s="10" t="inlineStr">
        <is>
          <t>#/intro</t>
        </is>
      </c>
      <c r="E83" s="10" t="inlineStr">
        <is>
          <t>Photo reuse</t>
        </is>
      </c>
      <c r="F83" s="10" t="inlineStr">
        <is>
          <t>'Use my badge photo with this introduction'</t>
        </is>
      </c>
      <c r="G83" s="10" t="inlineStr">
        <is>
          <t>Checkbox</t>
        </is>
      </c>
      <c r="H83" s="10" t="inlineStr">
        <is>
          <t>No</t>
        </is>
      </c>
      <c r="I83" s="10" t="inlineStr">
        <is>
          <t>Unchecked</t>
        </is>
      </c>
      <c r="J83" s="10" t="inlineStr">
        <is>
          <t>Only offered once a photo exists.</t>
        </is>
      </c>
      <c r="K83" s="10" t="inlineStr">
        <is>
          <t>—</t>
        </is>
      </c>
      <c r="L83" s="10" t="inlineStr">
        <is>
          <t>A-18</t>
        </is>
      </c>
      <c r="M83" s="10" t="inlineStr">
        <is>
          <t>NH Fields P-03.4</t>
        </is>
      </c>
      <c r="N83" s="13" t="inlineStr">
        <is>
          <t>Aligned</t>
        </is>
      </c>
    </row>
    <row r="84">
      <c r="A84" s="12" t="inlineStr">
        <is>
          <t>New hire</t>
        </is>
      </c>
      <c r="B84" s="12" t="inlineStr">
        <is>
          <t>P-04</t>
        </is>
      </c>
      <c r="C84" s="12" t="inlineStr">
        <is>
          <t>Photo for your badge</t>
        </is>
      </c>
      <c r="D84" s="12" t="inlineStr">
        <is>
          <t>#/intro</t>
        </is>
      </c>
      <c r="E84" s="12" t="inlineStr">
        <is>
          <t>Upload</t>
        </is>
      </c>
      <c r="F84" s="12" t="inlineStr">
        <is>
          <t>Drag-and-drop / browse, preview with crop guide</t>
        </is>
      </c>
      <c r="G84" s="12" t="inlineStr">
        <is>
          <t>Attachment</t>
        </is>
      </c>
      <c r="H84" s="12" t="inlineStr">
        <is>
          <t>Recommended</t>
        </is>
      </c>
      <c r="I84" s="12" t="inlineStr">
        <is>
          <t>Blank</t>
        </is>
      </c>
      <c r="J84" s="12" t="inlineStr">
        <is>
          <t>Live preview with a circular badge crop.</t>
        </is>
      </c>
      <c r="K84" s="12" t="inlineStr">
        <is>
          <t>CRE badge system</t>
        </is>
      </c>
      <c r="L84" s="12" t="inlineStr">
        <is>
          <t>A-17</t>
        </is>
      </c>
      <c r="M84" s="12" t="inlineStr">
        <is>
          <t>NH Fields P-04.2</t>
        </is>
      </c>
      <c r="N84" s="13" t="inlineStr">
        <is>
          <t>Aligned</t>
        </is>
      </c>
    </row>
    <row r="85">
      <c r="A85" s="10" t="inlineStr">
        <is>
          <t>New hire</t>
        </is>
      </c>
      <c r="B85" s="10" t="inlineStr">
        <is>
          <t>P-04</t>
        </is>
      </c>
      <c r="C85" s="10" t="inlineStr">
        <is>
          <t>Photo for your badge</t>
        </is>
      </c>
      <c r="D85" s="10" t="inlineStr">
        <is>
          <t>#/intro</t>
        </is>
      </c>
      <c r="E85" s="10" t="inlineStr">
        <is>
          <t>Requirements</t>
        </is>
      </c>
      <c r="F85" s="10" t="inlineStr">
        <is>
          <t>JPG/PNG · under 5MB · at least 600×600</t>
        </is>
      </c>
      <c r="G85" s="10" t="inlineStr">
        <is>
          <t>Display</t>
        </is>
      </c>
      <c r="H85" s="10" t="inlineStr">
        <is>
          <t>n/a</t>
        </is>
      </c>
      <c r="I85" s="10" t="inlineStr">
        <is>
          <t>Placeholder</t>
        </is>
      </c>
      <c r="J85" s="10" t="inlineStr">
        <is>
          <t>Marked as placeholder — the real spec sits with the workplace team.</t>
        </is>
      </c>
      <c r="K85" s="10" t="inlineStr">
        <is>
          <t>—</t>
        </is>
      </c>
      <c r="L85" s="10" t="inlineStr">
        <is>
          <t>A-17</t>
        </is>
      </c>
      <c r="M85" s="10" t="inlineStr">
        <is>
          <t>NH OI-13</t>
        </is>
      </c>
      <c r="N85" s="15" t="inlineStr">
        <is>
          <t>Open — content needed</t>
        </is>
      </c>
    </row>
    <row r="86">
      <c r="A86" s="12" t="inlineStr">
        <is>
          <t>New hire</t>
        </is>
      </c>
      <c r="B86" s="12" t="inlineStr">
        <is>
          <t>P-04</t>
        </is>
      </c>
      <c r="C86" s="12" t="inlineStr">
        <is>
          <t>Photo for your badge</t>
        </is>
      </c>
      <c r="D86" s="12" t="inlineStr">
        <is>
          <t>#/intro</t>
        </is>
      </c>
      <c r="E86" s="12" t="inlineStr">
        <is>
          <t>Guidelines</t>
        </is>
      </c>
      <c r="F86" s="12" t="inlineStr">
        <is>
          <t>Four guideline lines</t>
        </is>
      </c>
      <c r="G86" s="12" t="inlineStr">
        <is>
          <t>Display</t>
        </is>
      </c>
      <c r="H86" s="12" t="inlineStr">
        <is>
          <t>n/a</t>
        </is>
      </c>
      <c r="I86" s="12" t="inlineStr">
        <is>
          <t>Placeholder</t>
        </is>
      </c>
      <c r="J86" s="12" t="inlineStr">
        <is>
          <t>Marked as placeholder.</t>
        </is>
      </c>
      <c r="K86" s="12" t="inlineStr">
        <is>
          <t>—</t>
        </is>
      </c>
      <c r="L86" s="12" t="inlineStr">
        <is>
          <t>A-17</t>
        </is>
      </c>
      <c r="M86" s="12" t="inlineStr">
        <is>
          <t>NH OI-13</t>
        </is>
      </c>
      <c r="N86" s="15" t="inlineStr">
        <is>
          <t>Open — content needed</t>
        </is>
      </c>
    </row>
    <row r="87">
      <c r="A87" s="10" t="inlineStr">
        <is>
          <t>New hire</t>
        </is>
      </c>
      <c r="B87" s="10" t="inlineStr">
        <is>
          <t>P-04</t>
        </is>
      </c>
      <c r="C87" s="10" t="inlineStr">
        <is>
          <t>Photo for your badge</t>
        </is>
      </c>
      <c r="D87" s="10" t="inlineStr">
        <is>
          <t>#/intro</t>
        </is>
      </c>
      <c r="E87" s="10" t="inlineStr">
        <is>
          <t>Consent</t>
        </is>
      </c>
      <c r="F87" s="10" t="inlineStr">
        <is>
          <t>Consent naming badge, directory and Teams profile</t>
        </is>
      </c>
      <c r="G87" s="10" t="inlineStr">
        <is>
          <t>Checkbox</t>
        </is>
      </c>
      <c r="H87" s="10" t="inlineStr">
        <is>
          <t>Yes</t>
        </is>
      </c>
      <c r="I87" s="10" t="inlineStr">
        <is>
          <t>Unchecked</t>
        </is>
      </c>
      <c r="J87" s="10" t="inlineStr">
        <is>
          <t>Names all three surfaces, which is broader than a badge.</t>
        </is>
      </c>
      <c r="K87" s="10" t="inlineStr">
        <is>
          <t>—</t>
        </is>
      </c>
      <c r="L87" s="10" t="inlineStr">
        <is>
          <t>A-18</t>
        </is>
      </c>
      <c r="M87" s="10" t="inlineStr">
        <is>
          <t>NH OI-14</t>
        </is>
      </c>
      <c r="N87" s="15" t="inlineStr">
        <is>
          <t>Open</t>
        </is>
      </c>
    </row>
    <row r="88">
      <c r="A88" s="12" t="inlineStr">
        <is>
          <t>New hire</t>
        </is>
      </c>
      <c r="B88" s="12" t="inlineStr">
        <is>
          <t>P-04</t>
        </is>
      </c>
      <c r="C88" s="12" t="inlineStr">
        <is>
          <t>Photo for your badge</t>
        </is>
      </c>
      <c r="D88" s="12" t="inlineStr">
        <is>
          <t>#/intro</t>
        </is>
      </c>
      <c r="E88" s="12" t="inlineStr">
        <is>
          <t>Variant</t>
        </is>
      </c>
      <c r="F88" s="12" t="inlineStr">
        <is>
          <t>Conversion persona: confirm or replace existing photo</t>
        </is>
      </c>
      <c r="G88" s="12" t="inlineStr">
        <is>
          <t>Conditional block</t>
        </is>
      </c>
      <c r="H88" s="12" t="inlineStr">
        <is>
          <t>Conditional</t>
        </is>
      </c>
      <c r="I88" s="12" t="inlineStr">
        <is>
          <t>Photo on file</t>
        </is>
      </c>
      <c r="J88" s="12" t="inlineStr">
        <is>
          <t>Replaces the upload for conversion personas.</t>
        </is>
      </c>
      <c r="K88" s="12" t="inlineStr">
        <is>
          <t>—</t>
        </is>
      </c>
      <c r="L88" s="12" t="inlineStr">
        <is>
          <t>—</t>
        </is>
      </c>
      <c r="M88" s="12" t="inlineStr">
        <is>
          <t>PRD S2-US08 AC1</t>
        </is>
      </c>
      <c r="N88" s="13" t="inlineStr">
        <is>
          <t>Aligned</t>
        </is>
      </c>
    </row>
    <row r="89">
      <c r="A89" s="10" t="inlineStr">
        <is>
          <t>New hire</t>
        </is>
      </c>
      <c r="B89" s="10" t="inlineStr">
        <is>
          <t>P-04</t>
        </is>
      </c>
      <c r="C89" s="10" t="inlineStr">
        <is>
          <t>Photo for your badge</t>
        </is>
      </c>
      <c r="D89" s="10" t="inlineStr">
        <is>
          <t>#/intro</t>
        </is>
      </c>
      <c r="E89" s="10" t="inlineStr">
        <is>
          <t>Timing</t>
        </is>
      </c>
      <c r="F89" s="10" t="inlineStr">
        <is>
          <t>Due earlier than the introduction (badge print lead)</t>
        </is>
      </c>
      <c r="G89" s="10" t="inlineStr">
        <is>
          <t>Display</t>
        </is>
      </c>
      <c r="H89" s="10" t="inlineStr">
        <is>
          <t>n/a</t>
        </is>
      </c>
      <c r="I89" s="10" t="inlineStr">
        <is>
          <t>—</t>
        </is>
      </c>
      <c r="J89" s="10" t="inlineStr">
        <is>
          <t>Two due dates on one card, explained.</t>
        </is>
      </c>
      <c r="K89" s="10" t="inlineStr">
        <is>
          <t>HM H-00 third-party</t>
        </is>
      </c>
      <c r="L89" s="10" t="inlineStr">
        <is>
          <t>A-16</t>
        </is>
      </c>
      <c r="M89" s="10" t="inlineStr">
        <is>
          <t>Merge Analysis 4</t>
        </is>
      </c>
      <c r="N89" s="13" t="inlineStr">
        <is>
          <t>Aligned</t>
        </is>
      </c>
    </row>
    <row r="90">
      <c r="A90" s="12" t="inlineStr">
        <is>
          <t>New hire</t>
        </is>
      </c>
      <c r="B90" s="12" t="inlineStr">
        <is>
          <t>P-05</t>
        </is>
      </c>
      <c r="C90" s="12" t="inlineStr">
        <is>
          <t>Policies and privacy notices</t>
        </is>
      </c>
      <c r="D90" s="12" t="inlineStr">
        <is>
          <t>#/policies</t>
        </is>
      </c>
      <c r="E90" s="12" t="inlineStr">
        <is>
          <t>Progress</t>
        </is>
      </c>
      <c r="F90" s="12" t="inlineStr">
        <is>
          <t>'N of 6 acknowledged'</t>
        </is>
      </c>
      <c r="G90" s="12" t="inlineStr">
        <is>
          <t>Display</t>
        </is>
      </c>
      <c r="H90" s="12" t="inlineStr">
        <is>
          <t>n/a</t>
        </is>
      </c>
      <c r="I90" s="12" t="inlineStr">
        <is>
          <t>Computed</t>
        </is>
      </c>
      <c r="J90" s="12" t="inlineStr">
        <is>
          <t>Per-document tracking.</t>
        </is>
      </c>
      <c r="K90" s="12" t="inlineStr">
        <is>
          <t>HM H-00 (status only)</t>
        </is>
      </c>
      <c r="L90" s="12" t="inlineStr">
        <is>
          <t>M-03 / L-05</t>
        </is>
      </c>
      <c r="M90" s="12" t="inlineStr">
        <is>
          <t>PRD S2-US19 AC1</t>
        </is>
      </c>
      <c r="N90" s="13" t="inlineStr">
        <is>
          <t>Aligned</t>
        </is>
      </c>
    </row>
    <row r="91">
      <c r="A91" s="10" t="inlineStr">
        <is>
          <t>New hire</t>
        </is>
      </c>
      <c r="B91" s="10" t="inlineStr">
        <is>
          <t>P-05</t>
        </is>
      </c>
      <c r="C91" s="10" t="inlineStr">
        <is>
          <t>Policies and privacy notices</t>
        </is>
      </c>
      <c r="D91" s="10" t="inlineStr">
        <is>
          <t>#/policies</t>
        </is>
      </c>
      <c r="E91" s="10" t="inlineStr">
        <is>
          <t>Documents</t>
        </is>
      </c>
      <c r="F91" s="10" t="inlineStr">
        <is>
          <t>Acceptable Use Policy</t>
        </is>
      </c>
      <c r="G91" s="10" t="inlineStr">
        <is>
          <t>Doc + ack</t>
        </is>
      </c>
      <c r="H91" s="10" t="inlineStr">
        <is>
          <t>Required</t>
        </is>
      </c>
      <c r="I91" s="10" t="inlineStr">
        <is>
          <t>Content object</t>
        </is>
      </c>
      <c r="J91" s="10" t="inlineStr">
        <is>
          <t>Scroll-gated acknowledgement. Hosts the country addendum.</t>
        </is>
      </c>
      <c r="K91" s="10" t="inlineStr">
        <is>
          <t>—</t>
        </is>
      </c>
      <c r="L91" s="10" t="inlineStr">
        <is>
          <t>A-24</t>
        </is>
      </c>
      <c r="M91" s="10" t="inlineStr">
        <is>
          <t>Design Logic row 1</t>
        </is>
      </c>
      <c r="N91" s="13" t="inlineStr">
        <is>
          <t>Aligned</t>
        </is>
      </c>
    </row>
    <row r="92">
      <c r="A92" s="12" t="inlineStr">
        <is>
          <t>New hire</t>
        </is>
      </c>
      <c r="B92" s="12" t="inlineStr">
        <is>
          <t>P-05</t>
        </is>
      </c>
      <c r="C92" s="12" t="inlineStr">
        <is>
          <t>Policies and privacy notices</t>
        </is>
      </c>
      <c r="D92" s="12" t="inlineStr">
        <is>
          <t>#/policies</t>
        </is>
      </c>
      <c r="E92" s="12" t="inlineStr">
        <is>
          <t>Documents</t>
        </is>
      </c>
      <c r="F92" s="12" t="inlineStr">
        <is>
          <t>Code of Business Conduct — external site</t>
        </is>
      </c>
      <c r="G92" s="12" t="inlineStr">
        <is>
          <t>Doc + ack</t>
        </is>
      </c>
      <c r="H92" s="12" t="inlineStr">
        <is>
          <t>Required</t>
        </is>
      </c>
      <c r="I92" s="12" t="inlineStr">
        <is>
          <t>External</t>
        </is>
      </c>
      <c r="J92" s="12" t="inlineStr">
        <is>
          <t>Opens in a new tab, needs Equinix sign-in, return state remembers position.</t>
        </is>
      </c>
      <c r="K92" s="12" t="inlineStr">
        <is>
          <t>—</t>
        </is>
      </c>
      <c r="L92" s="12" t="inlineStr">
        <is>
          <t>A-24</t>
        </is>
      </c>
      <c r="M92" s="12" t="inlineStr">
        <is>
          <t>Design Logic row 2</t>
        </is>
      </c>
      <c r="N92" s="15" t="inlineStr">
        <is>
          <t>Open — see Alignment G-04</t>
        </is>
      </c>
    </row>
    <row r="93">
      <c r="A93" s="10" t="inlineStr">
        <is>
          <t>New hire</t>
        </is>
      </c>
      <c r="B93" s="10" t="inlineStr">
        <is>
          <t>P-05</t>
        </is>
      </c>
      <c r="C93" s="10" t="inlineStr">
        <is>
          <t>Policies and privacy notices</t>
        </is>
      </c>
      <c r="D93" s="10" t="inlineStr">
        <is>
          <t>#/policies</t>
        </is>
      </c>
      <c r="E93" s="10" t="inlineStr">
        <is>
          <t>Documents</t>
        </is>
      </c>
      <c r="F93" s="10" t="inlineStr">
        <is>
          <t>Whistleblower Protection Policy</t>
        </is>
      </c>
      <c r="G93" s="10" t="inlineStr">
        <is>
          <t>Doc + ack</t>
        </is>
      </c>
      <c r="H93" s="10" t="inlineStr">
        <is>
          <t>Required</t>
        </is>
      </c>
      <c r="I93" s="10" t="inlineStr">
        <is>
          <t>Content object</t>
        </is>
      </c>
      <c r="J93" s="10" t="inlineStr">
        <is>
          <t>—</t>
        </is>
      </c>
      <c r="K93" s="10" t="inlineStr">
        <is>
          <t>—</t>
        </is>
      </c>
      <c r="L93" s="10" t="inlineStr">
        <is>
          <t>A-24</t>
        </is>
      </c>
      <c r="M93" s="10" t="inlineStr">
        <is>
          <t>Design Logic row 4</t>
        </is>
      </c>
      <c r="N93" s="13" t="inlineStr">
        <is>
          <t>Aligned</t>
        </is>
      </c>
    </row>
    <row r="94">
      <c r="A94" s="12" t="inlineStr">
        <is>
          <t>New hire</t>
        </is>
      </c>
      <c r="B94" s="12" t="inlineStr">
        <is>
          <t>P-05</t>
        </is>
      </c>
      <c r="C94" s="12" t="inlineStr">
        <is>
          <t>Policies and privacy notices</t>
        </is>
      </c>
      <c r="D94" s="12" t="inlineStr">
        <is>
          <t>#/policies</t>
        </is>
      </c>
      <c r="E94" s="12" t="inlineStr">
        <is>
          <t>Documents</t>
        </is>
      </c>
      <c r="F94" s="12" t="inlineStr">
        <is>
          <t>Securities Trading Policy</t>
        </is>
      </c>
      <c r="G94" s="12" t="inlineStr">
        <is>
          <t>Doc + ack</t>
        </is>
      </c>
      <c r="H94" s="12" t="inlineStr">
        <is>
          <t>Required (assumed)</t>
        </is>
      </c>
      <c r="I94" s="12" t="inlineStr">
        <is>
          <t>Content object</t>
        </is>
      </c>
      <c r="J94" s="12" t="inlineStr">
        <is>
          <t>Acknowledgement requirement is blank in the source.</t>
        </is>
      </c>
      <c r="K94" s="12" t="inlineStr">
        <is>
          <t>—</t>
        </is>
      </c>
      <c r="L94" s="12" t="inlineStr">
        <is>
          <t>A-19</t>
        </is>
      </c>
      <c r="M94" s="12" t="inlineStr">
        <is>
          <t>NH OI-06</t>
        </is>
      </c>
      <c r="N94" s="15" t="inlineStr">
        <is>
          <t>Open</t>
        </is>
      </c>
    </row>
    <row r="95">
      <c r="A95" s="10" t="inlineStr">
        <is>
          <t>New hire</t>
        </is>
      </c>
      <c r="B95" s="10" t="inlineStr">
        <is>
          <t>P-05</t>
        </is>
      </c>
      <c r="C95" s="10" t="inlineStr">
        <is>
          <t>Policies and privacy notices</t>
        </is>
      </c>
      <c r="D95" s="10" t="inlineStr">
        <is>
          <t>#/policies</t>
        </is>
      </c>
      <c r="E95" s="10" t="inlineStr">
        <is>
          <t>Documents</t>
        </is>
      </c>
      <c r="F95" s="10" t="inlineStr">
        <is>
          <t>Employee Data Privacy Notice</t>
        </is>
      </c>
      <c r="G95" s="10" t="inlineStr">
        <is>
          <t>Doc + ack</t>
        </is>
      </c>
      <c r="H95" s="10" t="inlineStr">
        <is>
          <t>Required</t>
        </is>
      </c>
      <c r="I95" s="10" t="inlineStr">
        <is>
          <t>Content object</t>
        </is>
      </c>
      <c r="J95" s="10" t="inlineStr">
        <is>
          <t>Global notice + conditional country addendum.</t>
        </is>
      </c>
      <c r="K95" s="10" t="inlineStr">
        <is>
          <t>—</t>
        </is>
      </c>
      <c r="L95" s="10" t="inlineStr">
        <is>
          <t>A-24</t>
        </is>
      </c>
      <c r="M95" s="10" t="inlineStr">
        <is>
          <t>PRD v1.4 DPN</t>
        </is>
      </c>
      <c r="N95" s="15" t="inlineStr">
        <is>
          <t>Open — see Alignment G-02</t>
        </is>
      </c>
    </row>
    <row r="96">
      <c r="A96" s="12" t="inlineStr">
        <is>
          <t>New hire</t>
        </is>
      </c>
      <c r="B96" s="12" t="inlineStr">
        <is>
          <t>P-05</t>
        </is>
      </c>
      <c r="C96" s="12" t="inlineStr">
        <is>
          <t>Policies and privacy notices</t>
        </is>
      </c>
      <c r="D96" s="12" t="inlineStr">
        <is>
          <t>#/policies</t>
        </is>
      </c>
      <c r="E96" s="12" t="inlineStr">
        <is>
          <t>Documents</t>
        </is>
      </c>
      <c r="F96" s="12" t="inlineStr">
        <is>
          <t>Self-Identification Privacy Notice</t>
        </is>
      </c>
      <c r="G96" s="12" t="inlineStr">
        <is>
          <t>Doc + ack</t>
        </is>
      </c>
      <c r="H96" s="12" t="inlineStr">
        <is>
          <t>Required</t>
        </is>
      </c>
      <c r="I96" s="12" t="inlineStr">
        <is>
          <t>Content object</t>
        </is>
      </c>
      <c r="J96" s="12" t="inlineStr">
        <is>
          <t>Must be paired with the self-ID block on P-01.</t>
        </is>
      </c>
      <c r="K96" s="12" t="inlineStr">
        <is>
          <t>P-01c self-ID</t>
        </is>
      </c>
      <c r="L96" s="12" t="inlineStr">
        <is>
          <t>A-07</t>
        </is>
      </c>
      <c r="M96" s="12" t="inlineStr">
        <is>
          <t>Design Logic row 11</t>
        </is>
      </c>
      <c r="N96" s="13" t="inlineStr">
        <is>
          <t>Aligned</t>
        </is>
      </c>
    </row>
    <row r="97">
      <c r="A97" s="10" t="inlineStr">
        <is>
          <t>New hire</t>
        </is>
      </c>
      <c r="B97" s="10" t="inlineStr">
        <is>
          <t>P-05</t>
        </is>
      </c>
      <c r="C97" s="10" t="inlineStr">
        <is>
          <t>Policies and privacy notices</t>
        </is>
      </c>
      <c r="D97" s="10" t="inlineStr">
        <is>
          <t>#/policies</t>
        </is>
      </c>
      <c r="E97" s="10" t="inlineStr">
        <is>
          <t>Country variant</t>
        </is>
      </c>
      <c r="F97" s="10" t="inlineStr">
        <is>
          <t>Japan addendum nested inside the AUP</t>
        </is>
      </c>
      <c r="G97" s="10" t="inlineStr">
        <is>
          <t>Conditional section</t>
        </is>
      </c>
      <c r="H97" s="10" t="inlineStr">
        <is>
          <t>Conditional</t>
        </is>
      </c>
      <c r="I97" s="10" t="inlineStr">
        <is>
          <t>Country of hire</t>
        </is>
      </c>
      <c r="J97" s="10" t="inlineStr">
        <is>
          <t>One global policy with a local section — not a separate document.</t>
        </is>
      </c>
      <c r="K97" s="10" t="inlineStr">
        <is>
          <t>—</t>
        </is>
      </c>
      <c r="L97" s="10" t="inlineStr">
        <is>
          <t>A-20</t>
        </is>
      </c>
      <c r="M97" s="10" t="inlineStr">
        <is>
          <t>Design Logic row 1</t>
        </is>
      </c>
      <c r="N97" s="13" t="inlineStr">
        <is>
          <t>Aligned</t>
        </is>
      </c>
    </row>
    <row r="98">
      <c r="A98" s="12" t="inlineStr">
        <is>
          <t>New hire</t>
        </is>
      </c>
      <c r="B98" s="12" t="inlineStr">
        <is>
          <t>P-05</t>
        </is>
      </c>
      <c r="C98" s="12" t="inlineStr">
        <is>
          <t>Policies and privacy notices</t>
        </is>
      </c>
      <c r="D98" s="12" t="inlineStr">
        <is>
          <t>#/policies</t>
        </is>
      </c>
      <c r="E98" s="12" t="inlineStr">
        <is>
          <t>Metadata</t>
        </is>
      </c>
      <c r="F98" s="12" t="inlineStr">
        <is>
          <t>Version and language recorded on acknowledgement</t>
        </is>
      </c>
      <c r="G98" s="12" t="inlineStr">
        <is>
          <t>Display</t>
        </is>
      </c>
      <c r="H98" s="12" t="inlineStr">
        <is>
          <t>n/a</t>
        </is>
      </c>
      <c r="I98" s="12" t="inlineStr">
        <is>
          <t>System</t>
        </is>
      </c>
      <c r="J98" s="12" t="inlineStr">
        <is>
          <t>Quiet confirmation that it was recorded.</t>
        </is>
      </c>
      <c r="K98" s="12" t="inlineStr">
        <is>
          <t>—</t>
        </is>
      </c>
      <c r="L98" s="12" t="inlineStr">
        <is>
          <t>—</t>
        </is>
      </c>
      <c r="M98" s="12" t="inlineStr">
        <is>
          <t>PRD 3.5</t>
        </is>
      </c>
      <c r="N98" s="13" t="inlineStr">
        <is>
          <t>Aligned</t>
        </is>
      </c>
    </row>
    <row r="99">
      <c r="A99" s="10" t="inlineStr">
        <is>
          <t>New hire</t>
        </is>
      </c>
      <c r="B99" s="10" t="inlineStr">
        <is>
          <t>P-05</t>
        </is>
      </c>
      <c r="C99" s="10" t="inlineStr">
        <is>
          <t>Policies and privacy notices</t>
        </is>
      </c>
      <c r="D99" s="10" t="inlineStr">
        <is>
          <t>#/policies</t>
        </is>
      </c>
      <c r="E99" s="10" t="inlineStr">
        <is>
          <t>Reading material</t>
        </is>
      </c>
      <c r="F99" s="10" t="inlineStr">
        <is>
          <t>Company factsheet · Employee handbook (country)</t>
        </is>
      </c>
      <c r="G99" s="10" t="inlineStr">
        <is>
          <t>Reference ×2</t>
        </is>
      </c>
      <c r="H99" s="10" t="inlineStr">
        <is>
          <t>No</t>
        </is>
      </c>
      <c r="I99" s="10" t="inlineStr">
        <is>
          <t>Content hub</t>
        </is>
      </c>
      <c r="J99" s="10" t="inlineStr">
        <is>
          <t>Grouped separately so they do not read as outstanding tasks.</t>
        </is>
      </c>
      <c r="K99" s="10" t="inlineStr">
        <is>
          <t>—</t>
        </is>
      </c>
      <c r="L99" s="10" t="inlineStr">
        <is>
          <t>—</t>
        </is>
      </c>
      <c r="M99" s="10" t="inlineStr">
        <is>
          <t>Design Logic rows 3, 8</t>
        </is>
      </c>
      <c r="N99" s="15" t="inlineStr">
        <is>
          <t>Open — see Alignment G-03</t>
        </is>
      </c>
    </row>
    <row r="100">
      <c r="A100" s="12" t="inlineStr">
        <is>
          <t>New hire</t>
        </is>
      </c>
      <c r="B100" s="12" t="inlineStr">
        <is>
          <t>P-05</t>
        </is>
      </c>
      <c r="C100" s="12" t="inlineStr">
        <is>
          <t>Policies and privacy notices</t>
        </is>
      </c>
      <c r="D100" s="12" t="inlineStr">
        <is>
          <t>#/policies</t>
        </is>
      </c>
      <c r="E100" s="12" t="inlineStr">
        <is>
          <t>Submit</t>
        </is>
      </c>
      <c r="F100" s="12" t="inlineStr">
        <is>
          <t>Single submit for the whole pack</t>
        </is>
      </c>
      <c r="G100" s="12" t="inlineStr">
        <is>
          <t>Action</t>
        </is>
      </c>
      <c r="H100" s="12" t="inlineStr">
        <is>
          <t>Yes</t>
        </is>
      </c>
      <c r="I100" s="12" t="inlineStr">
        <is>
          <t>—</t>
        </is>
      </c>
      <c r="J100" s="12" t="inlineStr">
        <is>
          <t>Disabled until every required acknowledgement is ticked. Partial state persists.</t>
        </is>
      </c>
      <c r="K100" s="12" t="inlineStr">
        <is>
          <t>—</t>
        </is>
      </c>
      <c r="L100" s="12" t="inlineStr">
        <is>
          <t>—</t>
        </is>
      </c>
      <c r="M100" s="12" t="inlineStr">
        <is>
          <t>PRD S2-US19 AC2</t>
        </is>
      </c>
      <c r="N100" s="13" t="inlineStr">
        <is>
          <t>Aligned</t>
        </is>
      </c>
    </row>
    <row r="101">
      <c r="A101" s="10" t="inlineStr">
        <is>
          <t>New hire</t>
        </is>
      </c>
      <c r="B101" s="10" t="inlineStr">
        <is>
          <t>NH-NET</t>
        </is>
      </c>
      <c r="C101" s="10" t="inlineStr">
        <is>
          <t>Your suggested network</t>
        </is>
      </c>
      <c r="D101" s="10" t="inlineStr">
        <is>
          <t>#/network</t>
        </is>
      </c>
      <c r="E101" s="10" t="inlineStr">
        <is>
          <t>Waiting state</t>
        </is>
      </c>
      <c r="F101" s="10" t="inlineStr">
        <is>
          <t>'Priya hasn't named anyone yet'</t>
        </is>
      </c>
      <c r="G101" s="10" t="inlineStr">
        <is>
          <t>Display</t>
        </is>
      </c>
      <c r="H101" s="10" t="inlineStr">
        <is>
          <t>n/a</t>
        </is>
      </c>
      <c r="I101" s="10" t="inlineStr">
        <is>
          <t>HM network task</t>
        </is>
      </c>
      <c r="J101" s="10" t="inlineStr">
        <is>
          <t>The whole screen is empty until the manager acts — the dependency is visible.</t>
        </is>
      </c>
      <c r="K101" s="10" t="inlineStr">
        <is>
          <t>HM H-11</t>
        </is>
      </c>
      <c r="L101" s="10" t="inlineStr">
        <is>
          <t>L-06</t>
        </is>
      </c>
      <c r="M101" s="10" t="inlineStr">
        <is>
          <t>HM H-11</t>
        </is>
      </c>
      <c r="N101" s="14" t="inlineStr">
        <is>
          <t>Gap closed</t>
        </is>
      </c>
    </row>
    <row r="102">
      <c r="A102" s="12" t="inlineStr">
        <is>
          <t>New hire</t>
        </is>
      </c>
      <c r="B102" s="12" t="inlineStr">
        <is>
          <t>NH-NET</t>
        </is>
      </c>
      <c r="C102" s="12" t="inlineStr">
        <is>
          <t>Your suggested network</t>
        </is>
      </c>
      <c r="D102" s="12" t="inlineStr">
        <is>
          <t>#/network</t>
        </is>
      </c>
      <c r="E102" s="12" t="inlineStr">
        <is>
          <t>People</t>
        </is>
      </c>
      <c r="F102" s="12" t="inlineStr">
        <is>
          <t>Person card: name, role, department</t>
        </is>
      </c>
      <c r="G102" s="12" t="inlineStr">
        <is>
          <t>Display</t>
        </is>
      </c>
      <c r="H102" s="12" t="inlineStr">
        <is>
          <t>n/a</t>
        </is>
      </c>
      <c r="I102" s="12" t="inlineStr">
        <is>
          <t>HM selection</t>
        </is>
      </c>
      <c r="J102" s="12" t="inlineStr">
        <is>
          <t>Rendered from the manager's picks.</t>
        </is>
      </c>
      <c r="K102" s="12" t="inlineStr">
        <is>
          <t>HM H-11</t>
        </is>
      </c>
      <c r="L102" s="12" t="inlineStr">
        <is>
          <t>L-06</t>
        </is>
      </c>
      <c r="M102" s="12" t="inlineStr">
        <is>
          <t>HM H-11</t>
        </is>
      </c>
      <c r="N102" s="14" t="inlineStr">
        <is>
          <t>Gap closed</t>
        </is>
      </c>
    </row>
    <row r="103">
      <c r="A103" s="10" t="inlineStr">
        <is>
          <t>New hire</t>
        </is>
      </c>
      <c r="B103" s="10" t="inlineStr">
        <is>
          <t>NH-NET</t>
        </is>
      </c>
      <c r="C103" s="10" t="inlineStr">
        <is>
          <t>Your suggested network</t>
        </is>
      </c>
      <c r="D103" s="10" t="inlineStr">
        <is>
          <t>#/network</t>
        </is>
      </c>
      <c r="E103" s="10" t="inlineStr">
        <is>
          <t>People</t>
        </is>
      </c>
      <c r="F103" s="10" t="inlineStr">
        <is>
          <t>'Why Priya picked them' — verbatim</t>
        </is>
      </c>
      <c r="G103" s="10" t="inlineStr">
        <is>
          <t>Display</t>
        </is>
      </c>
      <c r="H103" s="10" t="inlineStr">
        <is>
          <t>n/a</t>
        </is>
      </c>
      <c r="I103" s="10" t="inlineStr">
        <is>
          <t>HM free text</t>
        </is>
      </c>
      <c r="J103" s="10" t="inlineStr">
        <is>
          <t>The manager's reason shown to the new hire exactly as written.</t>
        </is>
      </c>
      <c r="K103" s="10" t="inlineStr">
        <is>
          <t>HM H-11</t>
        </is>
      </c>
      <c r="L103" s="10" t="inlineStr">
        <is>
          <t>L-06</t>
        </is>
      </c>
      <c r="M103" s="10" t="inlineStr">
        <is>
          <t>1:1 with platform owner</t>
        </is>
      </c>
      <c r="N103" s="15" t="inlineStr">
        <is>
          <t>Open — see Alignment G-12</t>
        </is>
      </c>
    </row>
    <row r="104">
      <c r="A104" s="12" t="inlineStr">
        <is>
          <t>New hire</t>
        </is>
      </c>
      <c r="B104" s="12" t="inlineStr">
        <is>
          <t>NH-NET</t>
        </is>
      </c>
      <c r="C104" s="12" t="inlineStr">
        <is>
          <t>Your suggested network</t>
        </is>
      </c>
      <c r="D104" s="12" t="inlineStr">
        <is>
          <t>#/network</t>
        </is>
      </c>
      <c r="E104" s="12" t="inlineStr">
        <is>
          <t>Booking</t>
        </is>
      </c>
      <c r="F104" s="12" t="inlineStr">
        <is>
          <t>Three suggested 1:1 slots per person</t>
        </is>
      </c>
      <c r="G104" s="12" t="inlineStr">
        <is>
          <t>Action ×3</t>
        </is>
      </c>
      <c r="H104" s="12" t="inlineStr">
        <is>
          <t>No</t>
        </is>
      </c>
      <c r="I104" s="12" t="inlineStr">
        <is>
          <t>Derived from start date</t>
        </is>
      </c>
      <c r="J104" s="12" t="inlineStr">
        <is>
          <t>Booking is optional and per-person.</t>
        </is>
      </c>
      <c r="K104" s="12" t="inlineStr">
        <is>
          <t>Outlook</t>
        </is>
      </c>
      <c r="L104" s="12" t="inlineStr">
        <is>
          <t>A-43</t>
        </is>
      </c>
      <c r="M104" s="12" t="inlineStr">
        <is>
          <t>Lucid manager lane</t>
        </is>
      </c>
      <c r="N104" s="15" t="inlineStr">
        <is>
          <t>Open</t>
        </is>
      </c>
    </row>
    <row r="105">
      <c r="A105" s="10" t="inlineStr">
        <is>
          <t>New hire</t>
        </is>
      </c>
      <c r="B105" s="10" t="inlineStr">
        <is>
          <t>NH-NET</t>
        </is>
      </c>
      <c r="C105" s="10" t="inlineStr">
        <is>
          <t>Your suggested network</t>
        </is>
      </c>
      <c r="D105" s="10" t="inlineStr">
        <is>
          <t>#/network</t>
        </is>
      </c>
      <c r="E105" s="10" t="inlineStr">
        <is>
          <t>Framing</t>
        </is>
      </c>
      <c r="F105" s="10" t="inlineStr">
        <is>
          <t>Network vs buddy vs team — three-way distinction</t>
        </is>
      </c>
      <c r="G105" s="10" t="inlineStr">
        <is>
          <t>Display</t>
        </is>
      </c>
      <c r="H105" s="10" t="inlineStr">
        <is>
          <t>n/a</t>
        </is>
      </c>
      <c r="I105" s="10" t="inlineStr">
        <is>
          <t>—</t>
        </is>
      </c>
      <c r="J105" s="10" t="inlineStr">
        <is>
          <t>Explicitly not the org chart; explicitly not the buddy.</t>
        </is>
      </c>
      <c r="K105" s="10" t="inlineStr">
        <is>
          <t>—</t>
        </is>
      </c>
      <c r="L105" s="10" t="inlineStr">
        <is>
          <t>A-43</t>
        </is>
      </c>
      <c r="M105" s="10" t="inlineStr">
        <is>
          <t>HM spec §4</t>
        </is>
      </c>
      <c r="N105" s="13" t="inlineStr">
        <is>
          <t>Aligned</t>
        </is>
      </c>
    </row>
    <row r="106">
      <c r="A106" s="12" t="inlineStr">
        <is>
          <t>New hire</t>
        </is>
      </c>
      <c r="B106" s="12" t="inlineStr">
        <is>
          <t>P-00</t>
        </is>
      </c>
      <c r="C106" s="12" t="inlineStr">
        <is>
          <t>Portal landing / task list</t>
        </is>
      </c>
      <c r="D106" s="12" t="inlineStr">
        <is>
          <t>#/</t>
        </is>
      </c>
      <c r="E106" s="12" t="inlineStr">
        <is>
          <t>Inside Equinix</t>
        </is>
      </c>
      <c r="F106" s="12" t="inlineStr">
        <is>
          <t>Carousel — six chapters, rotating, with manual navigation</t>
        </is>
      </c>
      <c r="G106" s="12" t="inlineStr">
        <is>
          <t>Carousel</t>
        </is>
      </c>
      <c r="H106" s="12" t="inlineStr">
        <is>
          <t>No</t>
        </is>
      </c>
      <c r="I106" s="12" t="inlineStr">
        <is>
          <t>Content hub</t>
        </is>
      </c>
      <c r="J106" s="12" t="inlineStr">
        <is>
          <t>Sits above the progress tracker. Nothing tracked, nothing required. Rail link kept alongside it.</t>
        </is>
      </c>
      <c r="K106" s="12" t="inlineStr">
        <is>
          <t>—</t>
        </is>
      </c>
      <c r="L106" s="12" t="inlineStr">
        <is>
          <t>A-35</t>
        </is>
      </c>
      <c r="M106" s="12" t="inlineStr">
        <is>
          <t>PRD v1.4 UI request</t>
        </is>
      </c>
      <c r="N106" s="14" t="inlineStr">
        <is>
          <t>Gap closed</t>
        </is>
      </c>
    </row>
    <row r="107">
      <c r="A107" s="10" t="inlineStr">
        <is>
          <t>New hire</t>
        </is>
      </c>
      <c r="B107" s="10" t="inlineStr">
        <is>
          <t>NH-SD</t>
        </is>
      </c>
      <c r="C107" s="10" t="inlineStr">
        <is>
          <t>Confirm your start date</t>
        </is>
      </c>
      <c r="D107" s="10" t="inlineStr">
        <is>
          <t>#/startdate</t>
        </is>
      </c>
      <c r="E107" s="10" t="inlineStr">
        <is>
          <t>Confirmation</t>
        </is>
      </c>
      <c r="F107" s="10" t="inlineStr">
        <is>
          <t>Your start date, from your offer</t>
        </is>
      </c>
      <c r="G107" s="10" t="inlineStr">
        <is>
          <t>Read-only</t>
        </is>
      </c>
      <c r="H107" s="10" t="inlineStr">
        <is>
          <t>n/a</t>
        </is>
      </c>
      <c r="I107" s="10" t="inlineStr">
        <is>
          <t>Workday</t>
        </is>
      </c>
      <c r="J107" s="10" t="inlineStr">
        <is>
          <t>Every other due date in the portal is an offset from this.</t>
        </is>
      </c>
      <c r="K107" s="10" t="inlineStr">
        <is>
          <t>HM readiness + calendar</t>
        </is>
      </c>
      <c r="L107" s="10" t="inlineStr">
        <is>
          <t>A-49</t>
        </is>
      </c>
      <c r="M107" s="10" t="inlineStr">
        <is>
          <t>Future State Seq 4</t>
        </is>
      </c>
      <c r="N107" s="14" t="inlineStr">
        <is>
          <t>Gap closed</t>
        </is>
      </c>
    </row>
    <row r="108">
      <c r="A108" s="12" t="inlineStr">
        <is>
          <t>New hire</t>
        </is>
      </c>
      <c r="B108" s="12" t="inlineStr">
        <is>
          <t>NH-SD</t>
        </is>
      </c>
      <c r="C108" s="12" t="inlineStr">
        <is>
          <t>Confirm your start date</t>
        </is>
      </c>
      <c r="D108" s="12" t="inlineStr">
        <is>
          <t>#/startdate</t>
        </is>
      </c>
      <c r="E108" s="12" t="inlineStr">
        <is>
          <t>Confirmation</t>
        </is>
      </c>
      <c r="F108" s="12" t="inlineStr">
        <is>
          <t>Yes, that's right</t>
        </is>
      </c>
      <c r="G108" s="12" t="inlineStr">
        <is>
          <t>Action</t>
        </is>
      </c>
      <c r="H108" s="12" t="inlineStr">
        <is>
          <t>Yes</t>
        </is>
      </c>
      <c r="I108" s="12" t="inlineStr">
        <is>
          <t>—</t>
        </is>
      </c>
      <c r="J108" s="12" t="inlineStr">
        <is>
          <t>Completes the task and anchors the schedule.</t>
        </is>
      </c>
      <c r="K108" s="12" t="inlineStr">
        <is>
          <t>HM readiness</t>
        </is>
      </c>
      <c r="L108" s="12" t="inlineStr">
        <is>
          <t>A-49</t>
        </is>
      </c>
      <c r="M108" s="12" t="inlineStr">
        <is>
          <t>Future State Seq 4</t>
        </is>
      </c>
      <c r="N108" s="14" t="inlineStr">
        <is>
          <t>Gap closed</t>
        </is>
      </c>
    </row>
    <row r="109">
      <c r="A109" s="10" t="inlineStr">
        <is>
          <t>New hire</t>
        </is>
      </c>
      <c r="B109" s="10" t="inlineStr">
        <is>
          <t>NH-SD</t>
        </is>
      </c>
      <c r="C109" s="10" t="inlineStr">
        <is>
          <t>Confirm your start date</t>
        </is>
      </c>
      <c r="D109" s="10" t="inlineStr">
        <is>
          <t>#/startdate</t>
        </is>
      </c>
      <c r="E109" s="10" t="inlineStr">
        <is>
          <t>Change</t>
        </is>
      </c>
      <c r="F109" s="10" t="inlineStr">
        <is>
          <t>I need a different date → date + reason → request</t>
        </is>
      </c>
      <c r="G109" s="10" t="inlineStr">
        <is>
          <t>Action + fields</t>
        </is>
      </c>
      <c r="H109" s="10" t="inlineStr">
        <is>
          <t>No</t>
        </is>
      </c>
      <c r="I109" s="10" t="inlineStr">
        <is>
          <t>Blank</t>
        </is>
      </c>
      <c r="J109" s="10" t="inlineStr">
        <is>
          <t>Puts the task into a requested state. Dates stay put until agreed.</t>
        </is>
      </c>
      <c r="K109" s="10" t="inlineStr">
        <is>
          <t>HM readiness</t>
        </is>
      </c>
      <c r="L109" s="10" t="inlineStr">
        <is>
          <t>L-11</t>
        </is>
      </c>
      <c r="M109" s="10" t="inlineStr">
        <is>
          <t>Future State Seq 4</t>
        </is>
      </c>
      <c r="N109" s="15" t="inlineStr">
        <is>
          <t>Open — resolution undefined</t>
        </is>
      </c>
    </row>
    <row r="110">
      <c r="A110" s="12" t="inlineStr">
        <is>
          <t>New hire</t>
        </is>
      </c>
      <c r="B110" s="12" t="inlineStr">
        <is>
          <t>NH-BG</t>
        </is>
      </c>
      <c r="C110" s="12" t="inlineStr">
        <is>
          <t>Start your background check</t>
        </is>
      </c>
      <c r="D110" s="12" t="inlineStr">
        <is>
          <t>#/bgcheck</t>
        </is>
      </c>
      <c r="E110" s="12" t="inlineStr">
        <is>
          <t>Launch</t>
        </is>
      </c>
      <c r="F110" s="12" t="inlineStr">
        <is>
          <t>Start the check (opens the screening provider)</t>
        </is>
      </c>
      <c r="G110" s="12" t="inlineStr">
        <is>
          <t>External action</t>
        </is>
      </c>
      <c r="H110" s="12" t="inlineStr">
        <is>
          <t>Yes</t>
        </is>
      </c>
      <c r="I110" s="12" t="inlineStr">
        <is>
          <t>—</t>
        </is>
      </c>
      <c r="J110" s="12" t="inlineStr">
        <is>
          <t>The new hire launches it; it runs externally and reports status back.</t>
        </is>
      </c>
      <c r="K110" s="12" t="inlineStr">
        <is>
          <t>HM third-party</t>
        </is>
      </c>
      <c r="L110" s="12" t="inlineStr">
        <is>
          <t>A-50</t>
        </is>
      </c>
      <c r="M110" s="12" t="inlineStr">
        <is>
          <t>Future State Seq 3</t>
        </is>
      </c>
      <c r="N110" s="14" t="inlineStr">
        <is>
          <t>Gap closed</t>
        </is>
      </c>
    </row>
    <row r="111">
      <c r="A111" s="10" t="inlineStr">
        <is>
          <t>New hire</t>
        </is>
      </c>
      <c r="B111" s="10" t="inlineStr">
        <is>
          <t>NH-BG</t>
        </is>
      </c>
      <c r="C111" s="10" t="inlineStr">
        <is>
          <t>Start your background check</t>
        </is>
      </c>
      <c r="D111" s="10" t="inlineStr">
        <is>
          <t>#/bgcheck</t>
        </is>
      </c>
      <c r="E111" s="10" t="inlineStr">
        <is>
          <t>Status</t>
        </is>
      </c>
      <c r="F111" s="10" t="inlineStr">
        <is>
          <t>Running — nothing further from you</t>
        </is>
      </c>
      <c r="G111" s="10" t="inlineStr">
        <is>
          <t>Display</t>
        </is>
      </c>
      <c r="H111" s="10" t="inlineStr">
        <is>
          <t>n/a</t>
        </is>
      </c>
      <c r="I111" s="10" t="inlineStr">
        <is>
          <t>Provider</t>
        </is>
      </c>
      <c r="J111" s="10" t="inlineStr">
        <is>
          <t>Manager sees it running, never its contents.</t>
        </is>
      </c>
      <c r="K111" s="10" t="inlineStr">
        <is>
          <t>HM progress row</t>
        </is>
      </c>
      <c r="L111" s="10" t="inlineStr">
        <is>
          <t>A-50 / L-05</t>
        </is>
      </c>
      <c r="M111" s="10" t="inlineStr">
        <is>
          <t>Future State Seq 3</t>
        </is>
      </c>
      <c r="N111" s="14" t="inlineStr">
        <is>
          <t>Gap closed</t>
        </is>
      </c>
    </row>
    <row r="112">
      <c r="A112" s="12" t="inlineStr">
        <is>
          <t>New hire</t>
        </is>
      </c>
      <c r="B112" s="12" t="inlineStr">
        <is>
          <t>P-00</t>
        </is>
      </c>
      <c r="C112" s="12" t="inlineStr">
        <is>
          <t>Portal landing / task list</t>
        </is>
      </c>
      <c r="D112" s="12" t="inlineStr">
        <is>
          <t>#/</t>
        </is>
      </c>
      <c r="E112" s="12" t="inlineStr">
        <is>
          <t>Coming up</t>
        </is>
      </c>
      <c r="F112" s="12" t="inlineStr">
        <is>
          <t>Equinix Corporate Card Request — Day 2</t>
        </is>
      </c>
      <c r="G112" s="12" t="inlineStr">
        <is>
          <t>Disabled card</t>
        </is>
      </c>
      <c r="H112" s="12" t="inlineStr">
        <is>
          <t>Conditional</t>
        </is>
      </c>
      <c r="I112" s="12" t="inlineStr">
        <is>
          <t>HM card answer</t>
        </is>
      </c>
      <c r="J112" s="12" t="inlineStr">
        <is>
          <t>Appears only when the manager answers yes. A no creates nothing at all.</t>
        </is>
      </c>
      <c r="K112" s="12" t="inlineStr">
        <is>
          <t>HM H-06</t>
        </is>
      </c>
      <c r="L112" s="12" t="inlineStr">
        <is>
          <t>L-10</t>
        </is>
      </c>
      <c r="M112" s="12" t="inlineStr">
        <is>
          <t>PRD v1.4</t>
        </is>
      </c>
      <c r="N112" s="14" t="inlineStr">
        <is>
          <t>Gap closed</t>
        </is>
      </c>
    </row>
    <row r="113">
      <c r="A113" s="10" t="inlineStr">
        <is>
          <t>New hire</t>
        </is>
      </c>
      <c r="B113" s="10" t="inlineStr">
        <is>
          <t>P-05</t>
        </is>
      </c>
      <c r="C113" s="10" t="inlineStr">
        <is>
          <t>Policies and privacy notices</t>
        </is>
      </c>
      <c r="D113" s="10" t="inlineStr">
        <is>
          <t>#/policies</t>
        </is>
      </c>
      <c r="E113" s="10" t="inlineStr">
        <is>
          <t>Language</t>
        </is>
      </c>
      <c r="F113" s="10" t="inlineStr">
        <is>
          <t>Served in the language required for the country of hire</t>
        </is>
      </c>
      <c r="G113" s="10" t="inlineStr">
        <is>
          <t>Display</t>
        </is>
      </c>
      <c r="H113" s="10" t="inlineStr">
        <is>
          <t>n/a</t>
        </is>
      </c>
      <c r="I113" s="10" t="inlineStr">
        <is>
          <t>Country of hire</t>
        </is>
      </c>
      <c r="J113" s="10" t="inlineStr">
        <is>
          <t>Derived, not chosen. Switching country switches the served language.</t>
        </is>
      </c>
      <c r="K113" s="10" t="inlineStr">
        <is>
          <t>—</t>
        </is>
      </c>
      <c r="L113" s="10" t="inlineStr">
        <is>
          <t>A-03</t>
        </is>
      </c>
      <c r="M113" s="10" t="inlineStr">
        <is>
          <t>PRD v1.4 DPN</t>
        </is>
      </c>
      <c r="N113" s="14" t="inlineStr">
        <is>
          <t>Gap closed</t>
        </is>
      </c>
    </row>
    <row r="114">
      <c r="A114" s="12" t="inlineStr">
        <is>
          <t>New hire</t>
        </is>
      </c>
      <c r="B114" s="12" t="inlineStr">
        <is>
          <t>P-05</t>
        </is>
      </c>
      <c r="C114" s="12" t="inlineStr">
        <is>
          <t>Policies and privacy notices</t>
        </is>
      </c>
      <c r="D114" s="12" t="inlineStr">
        <is>
          <t>#/policies</t>
        </is>
      </c>
      <c r="E114" s="12" t="inlineStr">
        <is>
          <t>Reference pack</t>
        </is>
      </c>
      <c r="F114" s="12" t="inlineStr">
        <is>
          <t>Country handbook bundle with its real size</t>
        </is>
      </c>
      <c r="G114" s="12" t="inlineStr">
        <is>
          <t>Display</t>
        </is>
      </c>
      <c r="H114" s="12" t="inlineStr">
        <is>
          <t>No</t>
        </is>
      </c>
      <c r="I114" s="12" t="inlineStr">
        <is>
          <t>Current-state process</t>
        </is>
      </c>
      <c r="J114" s="12" t="inlineStr">
        <is>
          <t>US: handbook + 25 state addenda + benefits booklet + GovDocs = 28 documents.</t>
        </is>
      </c>
      <c r="K114" s="12" t="inlineStr">
        <is>
          <t>—</t>
        </is>
      </c>
      <c r="L114" s="12" t="inlineStr">
        <is>
          <t>A-51</t>
        </is>
      </c>
      <c r="M114" s="12" t="inlineStr">
        <is>
          <t>CR PC current state</t>
        </is>
      </c>
      <c r="N114" s="14" t="inlineStr">
        <is>
          <t>Gap closed</t>
        </is>
      </c>
    </row>
    <row r="115">
      <c r="A115" s="10" t="inlineStr">
        <is>
          <t>New hire</t>
        </is>
      </c>
      <c r="B115" s="10" t="inlineStr">
        <is>
          <t>P-05</t>
        </is>
      </c>
      <c r="C115" s="10" t="inlineStr">
        <is>
          <t>Policies and privacy notices</t>
        </is>
      </c>
      <c r="D115" s="10" t="inlineStr">
        <is>
          <t>#/policies</t>
        </is>
      </c>
      <c r="E115" s="10" t="inlineStr">
        <is>
          <t>Reference pack</t>
        </is>
      </c>
      <c r="F115" s="10" t="inlineStr">
        <is>
          <t>Flag: shown because it is true today, not because it is right</t>
        </is>
      </c>
      <c r="G115" s="10" t="inlineStr">
        <is>
          <t>Display</t>
        </is>
      </c>
      <c r="H115" s="10" t="inlineStr">
        <is>
          <t>n/a</t>
        </is>
      </c>
      <c r="I115" s="10" t="inlineStr">
        <is>
          <t>Current-state process</t>
        </is>
      </c>
      <c r="J115" s="10" t="inlineStr">
        <is>
          <t>Names the 24 addenda that do not apply, and the 416 instances across the whole process.</t>
        </is>
      </c>
      <c r="K115" s="10" t="inlineStr">
        <is>
          <t>—</t>
        </is>
      </c>
      <c r="L115" s="10" t="inlineStr">
        <is>
          <t>A-51</t>
        </is>
      </c>
      <c r="M115" s="10" t="inlineStr">
        <is>
          <t>CR PC current state</t>
        </is>
      </c>
      <c r="N115" s="15" t="inlineStr">
        <is>
          <t>Open — decision needed</t>
        </is>
      </c>
    </row>
    <row r="116">
      <c r="A116" s="12" t="inlineStr">
        <is>
          <t>New hire</t>
        </is>
      </c>
      <c r="B116" s="12" t="inlineStr">
        <is>
          <t>P-01c</t>
        </is>
      </c>
      <c r="C116" s="12" t="inlineStr">
        <is>
          <t>Personal details — Tab 3 Preferences</t>
        </is>
      </c>
      <c r="D116" s="12" t="inlineStr">
        <is>
          <t>#/details</t>
        </is>
      </c>
      <c r="E116" s="12" t="inlineStr">
        <is>
          <t>Language</t>
        </is>
      </c>
      <c r="F116" s="12" t="inlineStr">
        <is>
          <t>Language for messages from us (communications only)</t>
        </is>
      </c>
      <c r="G116" s="12" t="inlineStr">
        <is>
          <t>Select</t>
        </is>
      </c>
      <c r="H116" s="12" t="inlineStr">
        <is>
          <t>Yes</t>
        </is>
      </c>
      <c r="I116" s="12" t="inlineStr">
        <is>
          <t>Country of hire</t>
        </is>
      </c>
      <c r="J116" s="12" t="inlineStr">
        <is>
          <t>Demoted. States that document language is set by law, not preference.</t>
        </is>
      </c>
      <c r="K116" s="12" t="inlineStr">
        <is>
          <t>—</t>
        </is>
      </c>
      <c r="L116" s="12" t="inlineStr">
        <is>
          <t>A-03</t>
        </is>
      </c>
      <c r="M116" s="12" t="inlineStr">
        <is>
          <t>PRD v1.4 DPN</t>
        </is>
      </c>
      <c r="N116" s="14" t="inlineStr">
        <is>
          <t>Gap closed</t>
        </is>
      </c>
    </row>
    <row r="117">
      <c r="A117" s="10" t="inlineStr">
        <is>
          <t>New hire</t>
        </is>
      </c>
      <c r="B117" s="10" t="inlineStr">
        <is>
          <t>NH-FLOW</t>
        </is>
      </c>
      <c r="C117" s="10" t="inlineStr">
        <is>
          <t>Flow overview (review screen)</t>
        </is>
      </c>
      <c r="D117" s="10" t="inlineStr">
        <is>
          <t>#/flow</t>
        </is>
      </c>
      <c r="E117" s="10" t="inlineStr">
        <is>
          <t>Diagram</t>
        </is>
      </c>
      <c r="F117" s="10" t="inlineStr">
        <is>
          <t>Whole pre-Day 1 sequence against the timeline</t>
        </is>
      </c>
      <c r="G117" s="10" t="inlineStr">
        <is>
          <t>Diagram</t>
        </is>
      </c>
      <c r="H117" s="10" t="inlineStr">
        <is>
          <t>n/a</t>
        </is>
      </c>
      <c r="I117" s="10" t="inlineStr">
        <is>
          <t>—</t>
        </is>
      </c>
      <c r="J117" s="10" t="inlineStr">
        <is>
          <t>Three lanes: yours, opens later, other teams. Notes the post-Day 1 overflow.</t>
        </is>
      </c>
      <c r="K117" s="10" t="inlineStr">
        <is>
          <t>—</t>
        </is>
      </c>
      <c r="L117" s="10" t="inlineStr">
        <is>
          <t>A-48</t>
        </is>
      </c>
      <c r="M117" s="10" t="inlineStr">
        <is>
          <t>NH Stage 6</t>
        </is>
      </c>
      <c r="N117" s="11" t="inlineStr">
        <is>
          <t>Mockup only</t>
        </is>
      </c>
    </row>
    <row r="118">
      <c r="A118" s="12" t="inlineStr">
        <is>
          <t>Hiring manager</t>
        </is>
      </c>
      <c r="B118" s="12" t="inlineStr">
        <is>
          <t>H-00</t>
        </is>
      </c>
      <c r="C118" s="12" t="inlineStr">
        <is>
          <t>New hire readiness view</t>
        </is>
      </c>
      <c r="D118" s="12" t="inlineStr">
        <is>
          <t>#/hm/</t>
        </is>
      </c>
      <c r="E118" s="12" t="inlineStr">
        <is>
          <t>Selector</t>
        </is>
      </c>
      <c r="F118" s="12" t="inlineStr">
        <is>
          <t>New hire selector (multiple concurrent hires)</t>
        </is>
      </c>
      <c r="G118" s="12" t="inlineStr">
        <is>
          <t>Reference widget</t>
        </is>
      </c>
      <c r="H118" s="12" t="inlineStr">
        <is>
          <t>n/a</t>
        </is>
      </c>
      <c r="I118" s="12" t="inlineStr">
        <is>
          <t>Hires reporting to this manager</t>
        </is>
      </c>
      <c r="J118" s="12" t="inlineStr">
        <is>
          <t>Second hire shown read-only to prove the multi-hire view.</t>
        </is>
      </c>
      <c r="K118" s="12" t="inlineStr">
        <is>
          <t>—</t>
        </is>
      </c>
      <c r="L118" s="12" t="inlineStr">
        <is>
          <t>M-13</t>
        </is>
      </c>
      <c r="M118" s="12" t="inlineStr">
        <is>
          <t>HM Fields H-00.1</t>
        </is>
      </c>
      <c r="N118" s="15" t="inlineStr">
        <is>
          <t>Open — volume unknown</t>
        </is>
      </c>
    </row>
    <row r="119">
      <c r="A119" s="10" t="inlineStr">
        <is>
          <t>Hiring manager</t>
        </is>
      </c>
      <c r="B119" s="10" t="inlineStr">
        <is>
          <t>H-00</t>
        </is>
      </c>
      <c r="C119" s="10" t="inlineStr">
        <is>
          <t>New hire readiness view</t>
        </is>
      </c>
      <c r="D119" s="10" t="inlineStr">
        <is>
          <t>#/hm/</t>
        </is>
      </c>
      <c r="E119" s="10" t="inlineStr">
        <is>
          <t>Score</t>
        </is>
      </c>
      <c r="F119" s="10" t="inlineStr">
        <is>
          <t>Readiness score</t>
        </is>
      </c>
      <c r="G119" s="10" t="inlineStr">
        <is>
          <t>Display</t>
        </is>
      </c>
      <c r="H119" s="10" t="inlineStr">
        <is>
          <t>n/a</t>
        </is>
      </c>
      <c r="I119" s="10" t="inlineStr">
        <is>
          <t>Computed</t>
        </is>
      </c>
      <c r="J119" s="10" t="inlineStr">
        <is>
          <t>Plain count of tasks done over tasks assigned, with the absence of a formula stated on screen.</t>
        </is>
      </c>
      <c r="K119" s="10" t="inlineStr">
        <is>
          <t>—</t>
        </is>
      </c>
      <c r="L119" s="10" t="inlineStr">
        <is>
          <t>M-02</t>
        </is>
      </c>
      <c r="M119" s="10" t="inlineStr">
        <is>
          <t>HM OI-02</t>
        </is>
      </c>
      <c r="N119" s="15" t="inlineStr">
        <is>
          <t>Open — BLOCKS BUILD</t>
        </is>
      </c>
    </row>
    <row r="120">
      <c r="A120" s="12" t="inlineStr">
        <is>
          <t>Hiring manager</t>
        </is>
      </c>
      <c r="B120" s="12" t="inlineStr">
        <is>
          <t>H-00</t>
        </is>
      </c>
      <c r="C120" s="12" t="inlineStr">
        <is>
          <t>New hire readiness view</t>
        </is>
      </c>
      <c r="D120" s="12" t="inlineStr">
        <is>
          <t>#/hm/</t>
        </is>
      </c>
      <c r="E120" s="12" t="inlineStr">
        <is>
          <t>Score</t>
        </is>
      </c>
      <c r="F120" s="12" t="inlineStr">
        <is>
          <t>Breakdown by owner: new hire / you / other teams</t>
        </is>
      </c>
      <c r="G120" s="12" t="inlineStr">
        <is>
          <t>Display ×3</t>
        </is>
      </c>
      <c r="H120" s="12" t="inlineStr">
        <is>
          <t>n/a</t>
        </is>
      </c>
      <c r="I120" s="12" t="inlineStr">
        <is>
          <t>Computed</t>
        </is>
      </c>
      <c r="J120" s="12" t="inlineStr">
        <is>
          <t>Separates what the manager controls from what they do not.</t>
        </is>
      </c>
      <c r="K120" s="12" t="inlineStr">
        <is>
          <t>NH progress</t>
        </is>
      </c>
      <c r="L120" s="12" t="inlineStr">
        <is>
          <t>M-02</t>
        </is>
      </c>
      <c r="M120" s="12" t="inlineStr">
        <is>
          <t>PRD 3.6</t>
        </is>
      </c>
      <c r="N120" s="11" t="inlineStr">
        <is>
          <t>Mockup only</t>
        </is>
      </c>
    </row>
    <row r="121">
      <c r="A121" s="10" t="inlineStr">
        <is>
          <t>Hiring manager</t>
        </is>
      </c>
      <c r="B121" s="10" t="inlineStr">
        <is>
          <t>H-00</t>
        </is>
      </c>
      <c r="C121" s="10" t="inlineStr">
        <is>
          <t>New hire readiness view</t>
        </is>
      </c>
      <c r="D121" s="10" t="inlineStr">
        <is>
          <t>#/hm/</t>
        </is>
      </c>
      <c r="E121" s="10" t="inlineStr">
        <is>
          <t>Header</t>
        </is>
      </c>
      <c r="F121" s="10" t="inlineStr">
        <is>
          <t>New hire name, start date, days remaining</t>
        </is>
      </c>
      <c r="G121" s="10" t="inlineStr">
        <is>
          <t>Display</t>
        </is>
      </c>
      <c r="H121" s="10" t="inlineStr">
        <is>
          <t>n/a</t>
        </is>
      </c>
      <c r="I121" s="10" t="inlineStr">
        <is>
          <t>Workday</t>
        </is>
      </c>
      <c r="J121" s="10" t="inlineStr">
        <is>
          <t>—</t>
        </is>
      </c>
      <c r="K121" s="10" t="inlineStr">
        <is>
          <t>—</t>
        </is>
      </c>
      <c r="L121" s="10" t="inlineStr">
        <is>
          <t>—</t>
        </is>
      </c>
      <c r="M121" s="10" t="inlineStr">
        <is>
          <t>HM Fields H-00.3</t>
        </is>
      </c>
      <c r="N121" s="13" t="inlineStr">
        <is>
          <t>Aligned</t>
        </is>
      </c>
    </row>
    <row r="122">
      <c r="A122" s="12" t="inlineStr">
        <is>
          <t>Hiring manager</t>
        </is>
      </c>
      <c r="B122" s="12" t="inlineStr">
        <is>
          <t>H-00</t>
        </is>
      </c>
      <c r="C122" s="12" t="inlineStr">
        <is>
          <t>New hire readiness view</t>
        </is>
      </c>
      <c r="D122" s="12" t="inlineStr">
        <is>
          <t>#/hm/</t>
        </is>
      </c>
      <c r="E122" s="12" t="inlineStr">
        <is>
          <t>Blockers</t>
        </is>
      </c>
      <c r="F122" s="12" t="inlineStr">
        <is>
          <t>Blockers and escalation panel</t>
        </is>
      </c>
      <c r="G122" s="12" t="inlineStr">
        <is>
          <t>Display + action</t>
        </is>
      </c>
      <c r="H122" s="12" t="inlineStr">
        <is>
          <t>n/a</t>
        </is>
      </c>
      <c r="I122" s="12" t="inlineStr">
        <is>
          <t>Late/blocked tasks</t>
        </is>
      </c>
      <c r="J122" s="12" t="inlineStr">
        <is>
          <t>Computed live: unordered computer, unassigned buddy near Day −3, overdue new hire tasks, blocked stack.</t>
        </is>
      </c>
      <c r="K122" s="12" t="inlineStr">
        <is>
          <t>—</t>
        </is>
      </c>
      <c r="L122" s="12" t="inlineStr">
        <is>
          <t>M-16</t>
        </is>
      </c>
      <c r="M122" s="12" t="inlineStr">
        <is>
          <t>HM Fields H-00.8</t>
        </is>
      </c>
      <c r="N122" s="13" t="inlineStr">
        <is>
          <t>Aligned</t>
        </is>
      </c>
    </row>
    <row r="123">
      <c r="A123" s="10" t="inlineStr">
        <is>
          <t>Hiring manager</t>
        </is>
      </c>
      <c r="B123" s="10" t="inlineStr">
        <is>
          <t>H-00</t>
        </is>
      </c>
      <c r="C123" s="10" t="inlineStr">
        <is>
          <t>New hire readiness view</t>
        </is>
      </c>
      <c r="D123" s="10" t="inlineStr">
        <is>
          <t>#/hm/</t>
        </is>
      </c>
      <c r="E123" s="10" t="inlineStr">
        <is>
          <t>Your tasks</t>
        </is>
      </c>
      <c r="F123" s="10" t="inlineStr">
        <is>
          <t>Task cards with disposition badges</t>
        </is>
      </c>
      <c r="G123" s="10" t="inlineStr">
        <is>
          <t>Task cards ×7-8</t>
        </is>
      </c>
      <c r="H123" s="10" t="inlineStr">
        <is>
          <t>Mixed</t>
        </is>
      </c>
      <c r="I123" s="10" t="inlineStr">
        <is>
          <t>—</t>
        </is>
      </c>
      <c r="J123" s="10" t="inlineStr">
        <is>
          <t>Every card carries keep / exception-only / automate / remove / adds work.</t>
        </is>
      </c>
      <c r="K123" s="10" t="inlineStr">
        <is>
          <t>—</t>
        </is>
      </c>
      <c r="L123" s="10" t="inlineStr">
        <is>
          <t>M-09</t>
        </is>
      </c>
      <c r="M123" s="10" t="inlineStr">
        <is>
          <t>HM Task Disposition</t>
        </is>
      </c>
      <c r="N123" s="11" t="inlineStr">
        <is>
          <t>Mockup device</t>
        </is>
      </c>
    </row>
    <row r="124">
      <c r="A124" s="12" t="inlineStr">
        <is>
          <t>Hiring manager</t>
        </is>
      </c>
      <c r="B124" s="12" t="inlineStr">
        <is>
          <t>H-00</t>
        </is>
      </c>
      <c r="C124" s="12" t="inlineStr">
        <is>
          <t>New hire readiness view</t>
        </is>
      </c>
      <c r="D124" s="12" t="inlineStr">
        <is>
          <t>#/hm/</t>
        </is>
      </c>
      <c r="E124" s="12" t="inlineStr">
        <is>
          <t>Your tasks</t>
        </is>
      </c>
      <c r="F124" s="12" t="inlineStr">
        <is>
          <t>Link to the subtraction review</t>
        </is>
      </c>
      <c r="G124" s="12" t="inlineStr">
        <is>
          <t>Link</t>
        </is>
      </c>
      <c r="H124" s="12" t="inlineStr">
        <is>
          <t>n/a</t>
        </is>
      </c>
      <c r="I124" s="12" t="inlineStr">
        <is>
          <t>—</t>
        </is>
      </c>
      <c r="J124" s="12" t="inlineStr">
        <is>
          <t>The argument screen for this side.</t>
        </is>
      </c>
      <c r="K124" s="12" t="inlineStr">
        <is>
          <t>—</t>
        </is>
      </c>
      <c r="L124" s="12" t="inlineStr">
        <is>
          <t>M-09</t>
        </is>
      </c>
      <c r="M124" s="12" t="inlineStr">
        <is>
          <t>HM Task Disposition</t>
        </is>
      </c>
      <c r="N124" s="11" t="inlineStr">
        <is>
          <t>Mockup device</t>
        </is>
      </c>
    </row>
    <row r="125">
      <c r="A125" s="10" t="inlineStr">
        <is>
          <t>Hiring manager</t>
        </is>
      </c>
      <c r="B125" s="10" t="inlineStr">
        <is>
          <t>H-00</t>
        </is>
      </c>
      <c r="C125" s="10" t="inlineStr">
        <is>
          <t>New hire readiness view</t>
        </is>
      </c>
      <c r="D125" s="10" t="inlineStr">
        <is>
          <t>#/hm/</t>
        </is>
      </c>
      <c r="E125" s="10" t="inlineStr">
        <is>
          <t>Equipment</t>
        </is>
      </c>
      <c r="F125" s="10" t="inlineStr">
        <is>
          <t>Equipment orders table (identical to the new hire's)</t>
        </is>
      </c>
      <c r="G125" s="10" t="inlineStr">
        <is>
          <t>Display table</t>
        </is>
      </c>
      <c r="H125" s="10" t="inlineStr">
        <is>
          <t>n/a</t>
        </is>
      </c>
      <c r="I125" s="10" t="inlineStr">
        <is>
          <t>Equipment Orders</t>
        </is>
      </c>
      <c r="J125" s="10" t="inlineStr">
        <is>
          <t>One source, both sides. Names who each item waits on.</t>
        </is>
      </c>
      <c r="K125" s="10" t="inlineStr">
        <is>
          <t>NH equipment</t>
        </is>
      </c>
      <c r="L125" s="10" t="inlineStr">
        <is>
          <t>M-16 / L-04</t>
        </is>
      </c>
      <c r="M125" s="10" t="inlineStr">
        <is>
          <t>Live UAT portal</t>
        </is>
      </c>
      <c r="N125" s="14" t="inlineStr">
        <is>
          <t>Gap closed</t>
        </is>
      </c>
    </row>
    <row r="126">
      <c r="A126" s="12" t="inlineStr">
        <is>
          <t>Hiring manager</t>
        </is>
      </c>
      <c r="B126" s="12" t="inlineStr">
        <is>
          <t>H-00</t>
        </is>
      </c>
      <c r="C126" s="12" t="inlineStr">
        <is>
          <t>New hire readiness view</t>
        </is>
      </c>
      <c r="D126" s="12" t="inlineStr">
        <is>
          <t>#/hm/</t>
        </is>
      </c>
      <c r="E126" s="12" t="inlineStr">
        <is>
          <t>New hire progress</t>
        </is>
      </c>
      <c r="F126" s="12" t="inlineStr">
        <is>
          <t>Task names + status, content withheld</t>
        </is>
      </c>
      <c r="G126" s="12" t="inlineStr">
        <is>
          <t>Display ×5</t>
        </is>
      </c>
      <c r="H126" s="12" t="inlineStr">
        <is>
          <t>n/a</t>
        </is>
      </c>
      <c r="I126" s="12" t="inlineStr">
        <is>
          <t>New hire task records</t>
        </is>
      </c>
      <c r="J126" s="12" t="inlineStr">
        <is>
          <t>Sensitive rows marked 'Detail hidden' with what is withheld named.</t>
        </is>
      </c>
      <c r="K126" s="12" t="inlineStr">
        <is>
          <t>NH all tasks</t>
        </is>
      </c>
      <c r="L126" s="12" t="inlineStr">
        <is>
          <t>M-03 / L-05</t>
        </is>
      </c>
      <c r="M126" s="12" t="inlineStr">
        <is>
          <t>HM OI-03</t>
        </is>
      </c>
      <c r="N126" s="15" t="inlineStr">
        <is>
          <t>Open — BLOCKS BUILD</t>
        </is>
      </c>
    </row>
    <row r="127">
      <c r="A127" s="10" t="inlineStr">
        <is>
          <t>Hiring manager</t>
        </is>
      </c>
      <c r="B127" s="10" t="inlineStr">
        <is>
          <t>H-00</t>
        </is>
      </c>
      <c r="C127" s="10" t="inlineStr">
        <is>
          <t>New hire readiness view</t>
        </is>
      </c>
      <c r="D127" s="10" t="inlineStr">
        <is>
          <t>#/hm/</t>
        </is>
      </c>
      <c r="E127" s="10" t="inlineStr">
        <is>
          <t>Third party</t>
        </is>
      </c>
      <c r="F127" s="10" t="inlineStr">
        <is>
          <t>PEX / EUT / CRE task status</t>
        </is>
      </c>
      <c r="G127" s="10" t="inlineStr">
        <is>
          <t>Display ×3</t>
        </is>
      </c>
      <c r="H127" s="10" t="inlineStr">
        <is>
          <t>n/a</t>
        </is>
      </c>
      <c r="I127" s="10" t="inlineStr">
        <is>
          <t>Task records across teams</t>
        </is>
      </c>
      <c r="J127" s="10" t="inlineStr">
        <is>
          <t>Badge print reflects whether the new hire submitted a photo.</t>
        </is>
      </c>
      <c r="K127" s="10" t="inlineStr">
        <is>
          <t>NH photo task</t>
        </is>
      </c>
      <c r="L127" s="10" t="inlineStr">
        <is>
          <t>—</t>
        </is>
      </c>
      <c r="M127" s="10" t="inlineStr">
        <is>
          <t>PRD S2-US13 AC1</t>
        </is>
      </c>
      <c r="N127" s="13" t="inlineStr">
        <is>
          <t>Aligned</t>
        </is>
      </c>
    </row>
    <row r="128">
      <c r="A128" s="12" t="inlineStr">
        <is>
          <t>Hiring manager</t>
        </is>
      </c>
      <c r="B128" s="12" t="inlineStr">
        <is>
          <t>H-00</t>
        </is>
      </c>
      <c r="C128" s="12" t="inlineStr">
        <is>
          <t>New hire readiness view</t>
        </is>
      </c>
      <c r="D128" s="12" t="inlineStr">
        <is>
          <t>#/hm/</t>
        </is>
      </c>
      <c r="E128" s="12" t="inlineStr">
        <is>
          <t>Rail</t>
        </is>
      </c>
      <c r="F128" s="12" t="inlineStr">
        <is>
          <t>New hire contact card</t>
        </is>
      </c>
      <c r="G128" s="12" t="inlineStr">
        <is>
          <t>Contact card</t>
        </is>
      </c>
      <c r="H128" s="12" t="inlineStr">
        <is>
          <t>—</t>
        </is>
      </c>
      <c r="I128" s="12" t="inlineStr">
        <is>
          <t>Workday</t>
        </is>
      </c>
      <c r="J128" s="12" t="inlineStr">
        <is>
          <t>—</t>
        </is>
      </c>
      <c r="K128" s="12" t="inlineStr">
        <is>
          <t>—</t>
        </is>
      </c>
      <c r="L128" s="12" t="inlineStr">
        <is>
          <t>—</t>
        </is>
      </c>
      <c r="M128" s="12" t="inlineStr">
        <is>
          <t>HM spec</t>
        </is>
      </c>
      <c r="N128" s="13" t="inlineStr">
        <is>
          <t>Aligned</t>
        </is>
      </c>
    </row>
    <row r="129">
      <c r="A129" s="10" t="inlineStr">
        <is>
          <t>Hiring manager</t>
        </is>
      </c>
      <c r="B129" s="10" t="inlineStr">
        <is>
          <t>H-00</t>
        </is>
      </c>
      <c r="C129" s="10" t="inlineStr">
        <is>
          <t>New hire readiness view</t>
        </is>
      </c>
      <c r="D129" s="10" t="inlineStr">
        <is>
          <t>#/hm/</t>
        </is>
      </c>
      <c r="E129" s="10" t="inlineStr">
        <is>
          <t>Rail</t>
        </is>
      </c>
      <c r="F129" s="10" t="inlineStr">
        <is>
          <t>Notice: the new hire already has your details</t>
        </is>
      </c>
      <c r="G129" s="10" t="inlineStr">
        <is>
          <t>Display</t>
        </is>
      </c>
      <c r="H129" s="10" t="inlineStr">
        <is>
          <t>n/a</t>
        </is>
      </c>
      <c r="I129" s="10" t="inlineStr">
        <is>
          <t>—</t>
        </is>
      </c>
      <c r="J129" s="10" t="inlineStr">
        <is>
          <t>Tells the manager they are contactable pre-Day 1, and that nothing sets a response expectation.</t>
        </is>
      </c>
      <c r="K129" s="10" t="inlineStr">
        <is>
          <t>NH rail</t>
        </is>
      </c>
      <c r="L129" s="10" t="inlineStr">
        <is>
          <t>L-03</t>
        </is>
      </c>
      <c r="M129" s="10" t="inlineStr">
        <is>
          <t>HM OI-23</t>
        </is>
      </c>
      <c r="N129" s="15" t="inlineStr">
        <is>
          <t>Open</t>
        </is>
      </c>
    </row>
    <row r="130">
      <c r="A130" s="12" t="inlineStr">
        <is>
          <t>Hiring manager</t>
        </is>
      </c>
      <c r="B130" s="12" t="inlineStr">
        <is>
          <t>H-00</t>
        </is>
      </c>
      <c r="C130" s="12" t="inlineStr">
        <is>
          <t>New hire readiness view</t>
        </is>
      </c>
      <c r="D130" s="12" t="inlineStr">
        <is>
          <t>#/hm/</t>
        </is>
      </c>
      <c r="E130" s="12" t="inlineStr">
        <is>
          <t>Rail</t>
        </is>
      </c>
      <c r="F130" s="12" t="inlineStr">
        <is>
          <t>Quick confirm: your contact details</t>
        </is>
      </c>
      <c r="G130" s="12" t="inlineStr">
        <is>
          <t>Action</t>
        </is>
      </c>
      <c r="H130" s="12" t="inlineStr">
        <is>
          <t>No</t>
        </is>
      </c>
      <c r="I130" s="12" t="inlineStr">
        <is>
          <t>Workday</t>
        </is>
      </c>
      <c r="J130" s="12" t="inlineStr">
        <is>
          <t>One tap. Was a separate task; folded in because it needs no judgement.</t>
        </is>
      </c>
      <c r="K130" s="12" t="inlineStr">
        <is>
          <t>NH manager card</t>
        </is>
      </c>
      <c r="L130" s="12" t="inlineStr">
        <is>
          <t>M-18 / L-03</t>
        </is>
      </c>
      <c r="M130" s="12" t="inlineStr">
        <is>
          <t>HM H-09</t>
        </is>
      </c>
      <c r="N130" s="14" t="inlineStr">
        <is>
          <t>Gap closed</t>
        </is>
      </c>
    </row>
    <row r="131">
      <c r="A131" s="10" t="inlineStr">
        <is>
          <t>Hiring manager</t>
        </is>
      </c>
      <c r="B131" s="10" t="inlineStr">
        <is>
          <t>H-00</t>
        </is>
      </c>
      <c r="C131" s="10" t="inlineStr">
        <is>
          <t>New hire readiness view</t>
        </is>
      </c>
      <c r="D131" s="10" t="inlineStr">
        <is>
          <t>#/hm/</t>
        </is>
      </c>
      <c r="E131" s="10" t="inlineStr">
        <is>
          <t>Rail</t>
        </is>
      </c>
      <c r="F131" s="10" t="inlineStr">
        <is>
          <t>Quick confirm: add to 4 team channels</t>
        </is>
      </c>
      <c r="G131" s="10" t="inlineStr">
        <is>
          <t>Action</t>
        </is>
      </c>
      <c r="H131" s="10" t="inlineStr">
        <is>
          <t>No</t>
        </is>
      </c>
      <c r="I131" s="10" t="inlineStr">
        <is>
          <t>Team membership</t>
        </is>
      </c>
      <c r="J131" s="10" t="inlineStr">
        <is>
          <t>One tap for all four.</t>
        </is>
      </c>
      <c r="K131" s="10" t="inlineStr">
        <is>
          <t>—</t>
        </is>
      </c>
      <c r="L131" s="10" t="inlineStr">
        <is>
          <t>M-18</t>
        </is>
      </c>
      <c r="M131" s="10" t="inlineStr">
        <is>
          <t>HM H-12</t>
        </is>
      </c>
      <c r="N131" s="14" t="inlineStr">
        <is>
          <t>Gap closed</t>
        </is>
      </c>
    </row>
    <row r="132">
      <c r="A132" s="12" t="inlineStr">
        <is>
          <t>Hiring manager</t>
        </is>
      </c>
      <c r="B132" s="12" t="inlineStr">
        <is>
          <t>H-00</t>
        </is>
      </c>
      <c r="C132" s="12" t="inlineStr">
        <is>
          <t>New hire readiness view</t>
        </is>
      </c>
      <c r="D132" s="12" t="inlineStr">
        <is>
          <t>#/hm/</t>
        </is>
      </c>
      <c r="E132" s="12" t="inlineStr">
        <is>
          <t>Rail</t>
        </is>
      </c>
      <c r="F132" s="12" t="inlineStr">
        <is>
          <t>PEX contact + Manager Onboarding Guide link</t>
        </is>
      </c>
      <c r="G132" s="12" t="inlineStr">
        <is>
          <t>Contact + link</t>
        </is>
      </c>
      <c r="H132" s="12" t="inlineStr">
        <is>
          <t>—</t>
        </is>
      </c>
      <c r="I132" s="12" t="inlineStr">
        <is>
          <t>Assigned PEX</t>
        </is>
      </c>
      <c r="J132" s="12" t="inlineStr">
        <is>
          <t>Guide persists in the rail, not only in the notification.</t>
        </is>
      </c>
      <c r="K132" s="12" t="inlineStr">
        <is>
          <t>—</t>
        </is>
      </c>
      <c r="L132" s="12" t="inlineStr">
        <is>
          <t>M-15</t>
        </is>
      </c>
      <c r="M132" s="12" t="inlineStr">
        <is>
          <t>PRD S2-US12 AC2-3</t>
        </is>
      </c>
      <c r="N132" s="15" t="inlineStr">
        <is>
          <t>Open — content</t>
        </is>
      </c>
    </row>
    <row r="133">
      <c r="A133" s="10" t="inlineStr">
        <is>
          <t>Hiring manager</t>
        </is>
      </c>
      <c r="B133" s="10" t="inlineStr">
        <is>
          <t>H-00</t>
        </is>
      </c>
      <c r="C133" s="10" t="inlineStr">
        <is>
          <t>New hire readiness view</t>
        </is>
      </c>
      <c r="D133" s="10" t="inlineStr">
        <is>
          <t>#/hm/</t>
        </is>
      </c>
      <c r="E133" s="10" t="inlineStr">
        <is>
          <t>Rail</t>
        </is>
      </c>
      <c r="F133" s="10" t="inlineStr">
        <is>
          <t>Link: how the two portals connect</t>
        </is>
      </c>
      <c r="G133" s="10" t="inlineStr">
        <is>
          <t>Link</t>
        </is>
      </c>
      <c r="H133" s="10" t="inlineStr">
        <is>
          <t>—</t>
        </is>
      </c>
      <c r="I133" s="10" t="inlineStr">
        <is>
          <t>—</t>
        </is>
      </c>
      <c r="J133" s="10" t="inlineStr">
        <is>
          <t>Opens the handoff map.</t>
        </is>
      </c>
      <c r="K133" s="10" t="inlineStr">
        <is>
          <t>Handoffs</t>
        </is>
      </c>
      <c r="L133" s="10" t="inlineStr">
        <is>
          <t>—</t>
        </is>
      </c>
      <c r="M133" s="10" t="inlineStr">
        <is>
          <t>—</t>
        </is>
      </c>
      <c r="N133" s="11" t="inlineStr">
        <is>
          <t>Mockup device</t>
        </is>
      </c>
    </row>
    <row r="134">
      <c r="A134" s="12" t="inlineStr">
        <is>
          <t>Hiring manager</t>
        </is>
      </c>
      <c r="B134" s="12" t="inlineStr">
        <is>
          <t>H-03</t>
        </is>
      </c>
      <c r="C134" s="12" t="inlineStr">
        <is>
          <t>Confirm the first-day details</t>
        </is>
      </c>
      <c r="D134" s="12" t="inlineStr">
        <is>
          <t>#/hm/logistics</t>
        </is>
      </c>
      <c r="E134" s="12" t="inlineStr">
        <is>
          <t>Blueprint</t>
        </is>
      </c>
      <c r="F134" s="12" t="inlineStr">
        <is>
          <t>Where to go · parking · what to expect · dress code</t>
        </is>
      </c>
      <c r="G134" s="12" t="inlineStr">
        <is>
          <t>Read-only ×4</t>
        </is>
      </c>
      <c r="H134" s="12" t="inlineStr">
        <is>
          <t>n/a</t>
        </is>
      </c>
      <c r="I134" s="12" t="inlineStr">
        <is>
          <t>NHO blueprint</t>
        </is>
      </c>
      <c r="J134" s="12" t="inlineStr">
        <is>
          <t>Read-only. Fixing them means fixing the blueprint, so every Denver starter benefits.</t>
        </is>
      </c>
      <c r="K134" s="12" t="inlineStr">
        <is>
          <t>NH first-day card</t>
        </is>
      </c>
      <c r="L134" s="12" t="inlineStr">
        <is>
          <t>M-05</t>
        </is>
      </c>
      <c r="M134" s="12" t="inlineStr">
        <is>
          <t>HM OI-05</t>
        </is>
      </c>
      <c r="N134" s="15" t="inlineStr">
        <is>
          <t>Open — BLOCKS BUILD</t>
        </is>
      </c>
    </row>
    <row r="135">
      <c r="A135" s="10" t="inlineStr">
        <is>
          <t>Hiring manager</t>
        </is>
      </c>
      <c r="B135" s="10" t="inlineStr">
        <is>
          <t>H-03</t>
        </is>
      </c>
      <c r="C135" s="10" t="inlineStr">
        <is>
          <t>Confirm the first-day details</t>
        </is>
      </c>
      <c r="D135" s="10" t="inlineStr">
        <is>
          <t>#/hm/logistics</t>
        </is>
      </c>
      <c r="E135" s="10" t="inlineStr">
        <is>
          <t>Manager input</t>
        </is>
      </c>
      <c r="F135" s="10" t="inlineStr">
        <is>
          <t>Arrival time and where to come</t>
        </is>
      </c>
      <c r="G135" s="10" t="inlineStr">
        <is>
          <t>Single line text</t>
        </is>
      </c>
      <c r="H135" s="10" t="inlineStr">
        <is>
          <t>Yes</t>
        </is>
      </c>
      <c r="I135" s="10" t="inlineStr">
        <is>
          <t>Blank</t>
        </is>
      </c>
      <c r="J135" s="10" t="inlineStr">
        <is>
          <t>Feeds the new hire's first-day details card.</t>
        </is>
      </c>
      <c r="K135" s="10" t="inlineStr">
        <is>
          <t>NH first-day card</t>
        </is>
      </c>
      <c r="L135" s="10" t="inlineStr">
        <is>
          <t>L-07</t>
        </is>
      </c>
      <c r="M135" s="10" t="inlineStr">
        <is>
          <t>HM Fields H-03.2</t>
        </is>
      </c>
      <c r="N135" s="14" t="inlineStr">
        <is>
          <t>Gap closed</t>
        </is>
      </c>
    </row>
    <row r="136">
      <c r="A136" s="12" t="inlineStr">
        <is>
          <t>Hiring manager</t>
        </is>
      </c>
      <c r="B136" s="12" t="inlineStr">
        <is>
          <t>H-03</t>
        </is>
      </c>
      <c r="C136" s="12" t="inlineStr">
        <is>
          <t>Confirm the first-day details</t>
        </is>
      </c>
      <c r="D136" s="12" t="inlineStr">
        <is>
          <t>#/hm/logistics</t>
        </is>
      </c>
      <c r="E136" s="12" t="inlineStr">
        <is>
          <t>Cover</t>
        </is>
      </c>
      <c r="F136" s="12" t="inlineStr">
        <is>
          <t>Are you available on Day 1?</t>
        </is>
      </c>
      <c r="G136" s="12" t="inlineStr">
        <is>
          <t>Radio</t>
        </is>
      </c>
      <c r="H136" s="12" t="inlineStr">
        <is>
          <t>Yes</t>
        </is>
      </c>
      <c r="I136" s="12" t="inlineStr">
        <is>
          <t>Assumed yes</t>
        </is>
      </c>
      <c r="J136" s="12" t="inlineStr">
        <is>
          <t>'No' makes the proxy mandatory. Day 1 presence is a tracked measure.</t>
        </is>
      </c>
      <c r="K136" s="12" t="inlineStr">
        <is>
          <t>—</t>
        </is>
      </c>
      <c r="L136" s="12" t="inlineStr">
        <is>
          <t>—</t>
        </is>
      </c>
      <c r="M136" s="12" t="inlineStr">
        <is>
          <t>HM Fields H-03.7</t>
        </is>
      </c>
      <c r="N136" s="13" t="inlineStr">
        <is>
          <t>Aligned</t>
        </is>
      </c>
    </row>
    <row r="137">
      <c r="A137" s="10" t="inlineStr">
        <is>
          <t>Hiring manager</t>
        </is>
      </c>
      <c r="B137" s="10" t="inlineStr">
        <is>
          <t>H-03</t>
        </is>
      </c>
      <c r="C137" s="10" t="inlineStr">
        <is>
          <t>Confirm the first-day details</t>
        </is>
      </c>
      <c r="D137" s="10" t="inlineStr">
        <is>
          <t>#/hm/logistics</t>
        </is>
      </c>
      <c r="E137" s="10" t="inlineStr">
        <is>
          <t>Cover</t>
        </is>
      </c>
      <c r="F137" s="10" t="inlineStr">
        <is>
          <t>Day 1 proxy / delegate</t>
        </is>
      </c>
      <c r="G137" s="10" t="inlineStr">
        <is>
          <t>Reference</t>
        </is>
      </c>
      <c r="H137" s="10" t="inlineStr">
        <is>
          <t>Conditional</t>
        </is>
      </c>
      <c r="I137" s="10" t="inlineStr">
        <is>
          <t>Blank</t>
        </is>
      </c>
      <c r="J137" s="10" t="inlineStr">
        <is>
          <t>Applies to this hire only, not permanently. What a proxy can see is undefined.</t>
        </is>
      </c>
      <c r="K137" s="10" t="inlineStr">
        <is>
          <t>NH first-day card</t>
        </is>
      </c>
      <c r="L137" s="10" t="inlineStr">
        <is>
          <t>M-14</t>
        </is>
      </c>
      <c r="M137" s="10" t="inlineStr">
        <is>
          <t>HM OI-12 · PRD v1.4 proxy</t>
        </is>
      </c>
      <c r="N137" s="15" t="inlineStr">
        <is>
          <t>Open</t>
        </is>
      </c>
    </row>
    <row r="138">
      <c r="A138" s="12" t="inlineStr">
        <is>
          <t>Hiring manager</t>
        </is>
      </c>
      <c r="B138" s="12" t="inlineStr">
        <is>
          <t>H-03</t>
        </is>
      </c>
      <c r="C138" s="12" t="inlineStr">
        <is>
          <t>Confirm the first-day details</t>
        </is>
      </c>
      <c r="D138" s="12" t="inlineStr">
        <is>
          <t>#/hm/logistics</t>
        </is>
      </c>
      <c r="E138" s="12" t="inlineStr">
        <is>
          <t>Manager input</t>
        </is>
      </c>
      <c r="F138" s="12" t="inlineStr">
        <is>
          <t>Team-specific note</t>
        </is>
      </c>
      <c r="G138" s="12" t="inlineStr">
        <is>
          <t>Multi line text</t>
        </is>
      </c>
      <c r="H138" s="12" t="inlineStr">
        <is>
          <t>No</t>
        </is>
      </c>
      <c r="I138" s="12" t="inlineStr">
        <is>
          <t>Blank</t>
        </is>
      </c>
      <c r="J138" s="12" t="inlineStr">
        <is>
          <t>Optional. Also surfaces to the new hire.</t>
        </is>
      </c>
      <c r="K138" s="12" t="inlineStr">
        <is>
          <t>NH first-day card</t>
        </is>
      </c>
      <c r="L138" s="12" t="inlineStr">
        <is>
          <t>L-07</t>
        </is>
      </c>
      <c r="M138" s="12" t="inlineStr">
        <is>
          <t>Assumption</t>
        </is>
      </c>
      <c r="N138" s="11" t="inlineStr">
        <is>
          <t>Mockup only</t>
        </is>
      </c>
    </row>
    <row r="139">
      <c r="A139" s="10" t="inlineStr">
        <is>
          <t>Hiring manager</t>
        </is>
      </c>
      <c r="B139" s="10" t="inlineStr">
        <is>
          <t>H-04</t>
        </is>
      </c>
      <c r="C139" s="10" t="inlineStr">
        <is>
          <t>Order equipment for your new hire</t>
        </is>
      </c>
      <c r="D139" s="10" t="inlineStr">
        <is>
          <t>#/hm/computer</t>
        </is>
      </c>
      <c r="E139" s="10" t="inlineStr">
        <is>
          <t>Framing</t>
        </is>
      </c>
      <c r="F139" s="10" t="inlineStr">
        <is>
          <t>This is an order, not a confirmation</t>
        </is>
      </c>
      <c r="G139" s="10" t="inlineStr">
        <is>
          <t>Display</t>
        </is>
      </c>
      <c r="H139" s="10" t="inlineStr">
        <is>
          <t>n/a</t>
        </is>
      </c>
      <c r="I139" s="10" t="inlineStr">
        <is>
          <t>Live portal</t>
        </is>
      </c>
      <c r="J139" s="10" t="inlineStr">
        <is>
          <t>Corrects the workbook baseline. Nothing ships until the manager acts.</t>
        </is>
      </c>
      <c r="K139" s="10" t="inlineStr">
        <is>
          <t>NH equipment table</t>
        </is>
      </c>
      <c r="L139" s="10" t="inlineStr">
        <is>
          <t>M-01</t>
        </is>
      </c>
      <c r="M139" s="10" t="inlineStr">
        <is>
          <t>HM OI-24</t>
        </is>
      </c>
      <c r="N139" s="15" t="inlineStr">
        <is>
          <t>Open — BLOCKS BUILD</t>
        </is>
      </c>
    </row>
    <row r="140">
      <c r="A140" s="12" t="inlineStr">
        <is>
          <t>Hiring manager</t>
        </is>
      </c>
      <c r="B140" s="12" t="inlineStr">
        <is>
          <t>H-04</t>
        </is>
      </c>
      <c r="C140" s="12" t="inlineStr">
        <is>
          <t>Order equipment for your new hire</t>
        </is>
      </c>
      <c r="D140" s="12" t="inlineStr">
        <is>
          <t>#/hm/computer</t>
        </is>
      </c>
      <c r="E140" s="12" t="inlineStr">
        <is>
          <t>Selection</t>
        </is>
      </c>
      <c r="F140" s="12" t="inlineStr">
        <is>
          <t>Three laptop options with lead times</t>
        </is>
      </c>
      <c r="G140" s="12" t="inlineStr">
        <is>
          <t>Radio ×3</t>
        </is>
      </c>
      <c r="H140" s="12" t="inlineStr">
        <is>
          <t>Yes</t>
        </is>
      </c>
      <c r="I140" s="12" t="inlineStr">
        <is>
          <t>Catalogue</t>
        </is>
      </c>
      <c r="J140" s="12" t="inlineStr">
        <is>
          <t>One option deliberately backordered so the late-delivery warning is visible.</t>
        </is>
      </c>
      <c r="K140" s="12" t="inlineStr">
        <is>
          <t>—</t>
        </is>
      </c>
      <c r="L140" s="12" t="inlineStr">
        <is>
          <t>M-17</t>
        </is>
      </c>
      <c r="M140" s="12" t="inlineStr">
        <is>
          <t>PRD S2-US07 AC3</t>
        </is>
      </c>
      <c r="N140" s="15" t="inlineStr">
        <is>
          <t>Open — content needed</t>
        </is>
      </c>
    </row>
    <row r="141">
      <c r="A141" s="10" t="inlineStr">
        <is>
          <t>Hiring manager</t>
        </is>
      </c>
      <c r="B141" s="10" t="inlineStr">
        <is>
          <t>H-04</t>
        </is>
      </c>
      <c r="C141" s="10" t="inlineStr">
        <is>
          <t>Order equipment for your new hire</t>
        </is>
      </c>
      <c r="D141" s="10" t="inlineStr">
        <is>
          <t>#/hm/computer</t>
        </is>
      </c>
      <c r="E141" s="10" t="inlineStr">
        <is>
          <t>Warning</t>
        </is>
      </c>
      <c r="F141" s="10" t="inlineStr">
        <is>
          <t>Would arrive after the start date</t>
        </is>
      </c>
      <c r="G141" s="10" t="inlineStr">
        <is>
          <t>Display</t>
        </is>
      </c>
      <c r="H141" s="10" t="inlineStr">
        <is>
          <t>n/a</t>
        </is>
      </c>
      <c r="I141" s="10" t="inlineStr">
        <is>
          <t>Lead time vs start</t>
        </is>
      </c>
      <c r="J141" s="10" t="inlineStr">
        <is>
          <t>Explains the loaner route and the notification to the equipment team.</t>
        </is>
      </c>
      <c r="K141" s="10" t="inlineStr">
        <is>
          <t>NH equipment table</t>
        </is>
      </c>
      <c r="L141" s="10" t="inlineStr">
        <is>
          <t>M-17</t>
        </is>
      </c>
      <c r="M141" s="10" t="inlineStr">
        <is>
          <t>PRD S2-US07 AC4</t>
        </is>
      </c>
      <c r="N141" s="13" t="inlineStr">
        <is>
          <t>Aligned</t>
        </is>
      </c>
    </row>
    <row r="142">
      <c r="A142" s="12" t="inlineStr">
        <is>
          <t>Hiring manager</t>
        </is>
      </c>
      <c r="B142" s="12" t="inlineStr">
        <is>
          <t>H-04</t>
        </is>
      </c>
      <c r="C142" s="12" t="inlineStr">
        <is>
          <t>Order equipment for your new hire</t>
        </is>
      </c>
      <c r="D142" s="12" t="inlineStr">
        <is>
          <t>#/hm/computer</t>
        </is>
      </c>
      <c r="E142" s="12" t="inlineStr">
        <is>
          <t>Override</t>
        </is>
      </c>
      <c r="F142" s="12" t="inlineStr">
        <is>
          <t>Reason (mandatory on the late option)</t>
        </is>
      </c>
      <c r="G142" s="12" t="inlineStr">
        <is>
          <t>Multi line text</t>
        </is>
      </c>
      <c r="H142" s="12" t="inlineStr">
        <is>
          <t>Conditional</t>
        </is>
      </c>
      <c r="I142" s="12" t="inlineStr">
        <is>
          <t>Blank</t>
        </is>
      </c>
      <c r="J142" s="12" t="inlineStr">
        <is>
          <t>Recorded with the order and shown to the new hire.</t>
        </is>
      </c>
      <c r="K142" s="12" t="inlineStr">
        <is>
          <t>NH notification</t>
        </is>
      </c>
      <c r="L142" s="12" t="inlineStr">
        <is>
          <t>M-01</t>
        </is>
      </c>
      <c r="M142" s="12" t="inlineStr">
        <is>
          <t>PRD S2-US07 edge 1</t>
        </is>
      </c>
      <c r="N142" s="13" t="inlineStr">
        <is>
          <t>Aligned</t>
        </is>
      </c>
    </row>
    <row r="143">
      <c r="A143" s="10" t="inlineStr">
        <is>
          <t>Hiring manager</t>
        </is>
      </c>
      <c r="B143" s="10" t="inlineStr">
        <is>
          <t>H-04</t>
        </is>
      </c>
      <c r="C143" s="10" t="inlineStr">
        <is>
          <t>Order equipment for your new hire</t>
        </is>
      </c>
      <c r="D143" s="10" t="inlineStr">
        <is>
          <t>#/hm/computer</t>
        </is>
      </c>
      <c r="E143" s="10" t="inlineStr">
        <is>
          <t>Scope</t>
        </is>
      </c>
      <c r="F143" s="10" t="inlineStr">
        <is>
          <t>Accessories and phone are explicitly not the manager's</t>
        </is>
      </c>
      <c r="G143" s="10" t="inlineStr">
        <is>
          <t>Display</t>
        </is>
      </c>
      <c r="H143" s="10" t="inlineStr">
        <is>
          <t>n/a</t>
        </is>
      </c>
      <c r="I143" s="10" t="inlineStr">
        <is>
          <t>Live portal</t>
        </is>
      </c>
      <c r="J143" s="10" t="inlineStr">
        <is>
          <t>States the boundary rather than leaving it implied.</t>
        </is>
      </c>
      <c r="K143" s="10" t="inlineStr">
        <is>
          <t>NH equipment</t>
        </is>
      </c>
      <c r="L143" s="10" t="inlineStr">
        <is>
          <t>A-40 / M-01</t>
        </is>
      </c>
      <c r="M143" s="10" t="inlineStr">
        <is>
          <t>Merge Analysis 11</t>
        </is>
      </c>
      <c r="N143" s="14" t="inlineStr">
        <is>
          <t>Gap closed</t>
        </is>
      </c>
    </row>
    <row r="144">
      <c r="A144" s="12" t="inlineStr">
        <is>
          <t>Hiring manager</t>
        </is>
      </c>
      <c r="B144" s="12" t="inlineStr">
        <is>
          <t>H-05</t>
        </is>
      </c>
      <c r="C144" s="12" t="inlineStr">
        <is>
          <t>Confirm the application stack</t>
        </is>
      </c>
      <c r="D144" s="12" t="inlineStr">
        <is>
          <t>#/hm/software</t>
        </is>
      </c>
      <c r="E144" s="12" t="inlineStr">
        <is>
          <t>Blocked state</t>
        </is>
      </c>
      <c r="F144" s="12" t="inlineStr">
        <is>
          <t>'There is no default stack to show you'</t>
        </is>
      </c>
      <c r="G144" s="12" t="inlineStr">
        <is>
          <t>Display</t>
        </is>
      </c>
      <c r="H144" s="12" t="inlineStr">
        <is>
          <t>n/a</t>
        </is>
      </c>
      <c r="I144" s="12" t="inlineStr">
        <is>
          <t>Persona (unresolved)</t>
        </is>
      </c>
      <c r="J144" s="12" t="inlineStr">
        <is>
          <t>The screen is drawn as it behaves today, not as intended.</t>
        </is>
      </c>
      <c r="K144" s="12" t="inlineStr">
        <is>
          <t>—</t>
        </is>
      </c>
      <c r="L144" s="12" t="inlineStr">
        <is>
          <t>M-04</t>
        </is>
      </c>
      <c r="M144" s="12" t="inlineStr">
        <is>
          <t>HM OI-04</t>
        </is>
      </c>
      <c r="N144" s="15" t="inlineStr">
        <is>
          <t>Open — BLOCKS BUILD</t>
        </is>
      </c>
    </row>
    <row r="145">
      <c r="A145" s="10" t="inlineStr">
        <is>
          <t>Hiring manager</t>
        </is>
      </c>
      <c r="B145" s="10" t="inlineStr">
        <is>
          <t>H-05</t>
        </is>
      </c>
      <c r="C145" s="10" t="inlineStr">
        <is>
          <t>Confirm the application stack</t>
        </is>
      </c>
      <c r="D145" s="10" t="inlineStr">
        <is>
          <t>#/hm/software</t>
        </is>
      </c>
      <c r="E145" s="10" t="inlineStr">
        <is>
          <t>Default stack</t>
        </is>
      </c>
      <c r="F145" s="10" t="inlineStr">
        <is>
          <t>Persona default (renders empty)</t>
        </is>
      </c>
      <c r="G145" s="10" t="inlineStr">
        <is>
          <t>Display list</t>
        </is>
      </c>
      <c r="H145" s="10" t="inlineStr">
        <is>
          <t>n/a</t>
        </is>
      </c>
      <c r="I145" s="10" t="inlineStr">
        <is>
          <t>Persona</t>
        </is>
      </c>
      <c r="J145" s="10" t="inlineStr">
        <is>
          <t>Empty because no full persona list exists in the platform.</t>
        </is>
      </c>
      <c r="K145" s="10" t="inlineStr">
        <is>
          <t>—</t>
        </is>
      </c>
      <c r="L145" s="10" t="inlineStr">
        <is>
          <t>M-04</t>
        </is>
      </c>
      <c r="M145" s="10" t="inlineStr">
        <is>
          <t>PRD S2-US16 AC1</t>
        </is>
      </c>
      <c r="N145" s="15" t="inlineStr">
        <is>
          <t>Open — BLOCKS BUILD</t>
        </is>
      </c>
    </row>
    <row r="146">
      <c r="A146" s="12" t="inlineStr">
        <is>
          <t>Hiring manager</t>
        </is>
      </c>
      <c r="B146" s="12" t="inlineStr">
        <is>
          <t>H-05</t>
        </is>
      </c>
      <c r="C146" s="12" t="inlineStr">
        <is>
          <t>Confirm the application stack</t>
        </is>
      </c>
      <c r="D146" s="12" t="inlineStr">
        <is>
          <t>#/hm/software</t>
        </is>
      </c>
      <c r="E146" s="12" t="inlineStr">
        <is>
          <t>Additions</t>
        </is>
      </c>
      <c r="F146" s="12" t="inlineStr">
        <is>
          <t>Add applications by hand (catalogue items only)</t>
        </is>
      </c>
      <c r="G146" s="12" t="inlineStr">
        <is>
          <t>Checkbox ×8</t>
        </is>
      </c>
      <c r="H146" s="12" t="inlineStr">
        <is>
          <t>No</t>
        </is>
      </c>
      <c r="I146" s="12" t="inlineStr">
        <is>
          <t>Blank</t>
        </is>
      </c>
      <c r="J146" s="12" t="inlineStr">
        <is>
          <t>Each raises its own request with its own approval flow.</t>
        </is>
      </c>
      <c r="K146" s="12" t="inlineStr">
        <is>
          <t>—</t>
        </is>
      </c>
      <c r="L146" s="12" t="inlineStr">
        <is>
          <t>M-04</t>
        </is>
      </c>
      <c r="M146" s="12" t="inlineStr">
        <is>
          <t>PRD S2-US16 AC2-3</t>
        </is>
      </c>
      <c r="N146" s="13" t="inlineStr">
        <is>
          <t>Aligned</t>
        </is>
      </c>
    </row>
    <row r="147">
      <c r="A147" s="10" t="inlineStr">
        <is>
          <t>Hiring manager</t>
        </is>
      </c>
      <c r="B147" s="10" t="inlineStr">
        <is>
          <t>H-05</t>
        </is>
      </c>
      <c r="C147" s="10" t="inlineStr">
        <is>
          <t>Confirm the application stack</t>
        </is>
      </c>
      <c r="D147" s="10" t="inlineStr">
        <is>
          <t>#/hm/software</t>
        </is>
      </c>
      <c r="E147" s="10" t="inlineStr">
        <is>
          <t>Open question</t>
        </is>
      </c>
      <c r="F147" s="10" t="inlineStr">
        <is>
          <t>May a manager remove from the default?</t>
        </is>
      </c>
      <c r="G147" s="10" t="inlineStr">
        <is>
          <t>Display</t>
        </is>
      </c>
      <c r="H147" s="10" t="inlineStr">
        <is>
          <t>n/a</t>
        </is>
      </c>
      <c r="I147" s="10" t="inlineStr">
        <is>
          <t>—</t>
        </is>
      </c>
      <c r="J147" s="10" t="inlineStr">
        <is>
          <t>Requirements cover additions in detail and never mention removals.</t>
        </is>
      </c>
      <c r="K147" s="10" t="inlineStr">
        <is>
          <t>—</t>
        </is>
      </c>
      <c r="L147" s="10" t="inlineStr">
        <is>
          <t>—</t>
        </is>
      </c>
      <c r="M147" s="10" t="inlineStr">
        <is>
          <t>HM OI-08</t>
        </is>
      </c>
      <c r="N147" s="15" t="inlineStr">
        <is>
          <t>Open</t>
        </is>
      </c>
    </row>
    <row r="148">
      <c r="A148" s="12" t="inlineStr">
        <is>
          <t>Hiring manager</t>
        </is>
      </c>
      <c r="B148" s="12" t="inlineStr">
        <is>
          <t>H-07</t>
        </is>
      </c>
      <c r="C148" s="12" t="inlineStr">
        <is>
          <t>Choose an onboarding buddy</t>
        </is>
      </c>
      <c r="D148" s="12" t="inlineStr">
        <is>
          <t>#/hm/buddy</t>
        </is>
      </c>
      <c r="E148" s="12" t="inlineStr">
        <is>
          <t>Conflict</t>
        </is>
      </c>
      <c r="F148" s="12" t="inlineStr">
        <is>
          <t>Buddy visibility rule switch (assignment vs 72h)</t>
        </is>
      </c>
      <c r="G148" s="12" t="inlineStr">
        <is>
          <t>Prototype control</t>
        </is>
      </c>
      <c r="H148" s="12" t="inlineStr">
        <is>
          <t>n/a</t>
        </is>
      </c>
      <c r="I148" s="12" t="inlineStr">
        <is>
          <t>—</t>
        </is>
      </c>
      <c r="J148" s="12" t="inlineStr">
        <is>
          <t>Implements both contradictory rules so the difference is arguable.</t>
        </is>
      </c>
      <c r="K148" s="12" t="inlineStr">
        <is>
          <t>NH people rail</t>
        </is>
      </c>
      <c r="L148" s="12" t="inlineStr">
        <is>
          <t>L-01</t>
        </is>
      </c>
      <c r="M148" s="12" t="inlineStr">
        <is>
          <t>HM OI-22</t>
        </is>
      </c>
      <c r="N148" s="16" t="inlineStr">
        <is>
          <t>CONFLICT — BLOCKS BUILD</t>
        </is>
      </c>
    </row>
    <row r="149">
      <c r="A149" s="10" t="inlineStr">
        <is>
          <t>Hiring manager</t>
        </is>
      </c>
      <c r="B149" s="10" t="inlineStr">
        <is>
          <t>H-07</t>
        </is>
      </c>
      <c r="C149" s="10" t="inlineStr">
        <is>
          <t>Choose an onboarding buddy</t>
        </is>
      </c>
      <c r="D149" s="10" t="inlineStr">
        <is>
          <t>#/hm/buddy</t>
        </is>
      </c>
      <c r="E149" s="10" t="inlineStr">
        <is>
          <t>Suggestion</t>
        </is>
      </c>
      <c r="F149" s="10" t="inlineStr">
        <is>
          <t>Suggested buddy with current load</t>
        </is>
      </c>
      <c r="G149" s="10" t="inlineStr">
        <is>
          <t>Display + action</t>
        </is>
      </c>
      <c r="H149" s="10" t="inlineStr">
        <is>
          <t>No</t>
        </is>
      </c>
      <c r="I149" s="10" t="inlineStr">
        <is>
          <t>Suggestion engine</t>
        </is>
      </c>
      <c r="J149" s="10" t="inlineStr">
        <is>
          <t>One tap when the manager agrees.</t>
        </is>
      </c>
      <c r="K149" s="10" t="inlineStr">
        <is>
          <t>NH people rail</t>
        </is>
      </c>
      <c r="L149" s="10" t="inlineStr">
        <is>
          <t>M-07</t>
        </is>
      </c>
      <c r="M149" s="10" t="inlineStr">
        <is>
          <t>PRD S2-US18 AC1</t>
        </is>
      </c>
      <c r="N149" s="15" t="inlineStr">
        <is>
          <t>Open</t>
        </is>
      </c>
    </row>
    <row r="150">
      <c r="A150" s="12" t="inlineStr">
        <is>
          <t>Hiring manager</t>
        </is>
      </c>
      <c r="B150" s="12" t="inlineStr">
        <is>
          <t>H-07</t>
        </is>
      </c>
      <c r="C150" s="12" t="inlineStr">
        <is>
          <t>Choose an onboarding buddy</t>
        </is>
      </c>
      <c r="D150" s="12" t="inlineStr">
        <is>
          <t>#/hm/buddy</t>
        </is>
      </c>
      <c r="E150" s="12" t="inlineStr">
        <is>
          <t>Privacy</t>
        </is>
      </c>
      <c r="F150" s="12" t="inlineStr">
        <is>
          <t>Why this person was suggested is withheld</t>
        </is>
      </c>
      <c r="G150" s="12" t="inlineStr">
        <is>
          <t>Display</t>
        </is>
      </c>
      <c r="H150" s="12" t="inlineStr">
        <is>
          <t>n/a</t>
        </is>
      </c>
      <c r="I150" s="12" t="inlineStr">
        <is>
          <t>—</t>
        </is>
      </c>
      <c r="J150" s="12" t="inlineStr">
        <is>
          <t>The criteria include a performance signal; surfacing it would show an inference about another employee.</t>
        </is>
      </c>
      <c r="K150" s="12" t="inlineStr">
        <is>
          <t>—</t>
        </is>
      </c>
      <c r="L150" s="12" t="inlineStr">
        <is>
          <t>M-07</t>
        </is>
      </c>
      <c r="M150" s="12" t="inlineStr">
        <is>
          <t>HM OI-10</t>
        </is>
      </c>
      <c r="N150" s="15" t="inlineStr">
        <is>
          <t>Open</t>
        </is>
      </c>
    </row>
    <row r="151">
      <c r="A151" s="10" t="inlineStr">
        <is>
          <t>Hiring manager</t>
        </is>
      </c>
      <c r="B151" s="10" t="inlineStr">
        <is>
          <t>H-07</t>
        </is>
      </c>
      <c r="C151" s="10" t="inlineStr">
        <is>
          <t>Choose an onboarding buddy</t>
        </is>
      </c>
      <c r="D151" s="10" t="inlineStr">
        <is>
          <t>#/hm/buddy</t>
        </is>
      </c>
      <c r="E151" s="10" t="inlineStr">
        <is>
          <t>Alternatives</t>
        </is>
      </c>
      <c r="F151" s="10" t="inlineStr">
        <is>
          <t>Filterable alternatives with capacity warning</t>
        </is>
      </c>
      <c r="G151" s="10" t="inlineStr">
        <is>
          <t>List + action</t>
        </is>
      </c>
      <c r="H151" s="10" t="inlineStr">
        <is>
          <t>No</t>
        </is>
      </c>
      <c r="I151" s="10" t="inlineStr">
        <is>
          <t>Buddy pool</t>
        </is>
      </c>
      <c r="J151" s="10" t="inlineStr">
        <is>
          <t>Warning at 3 concurrent — the limit is invented because the policy is undefined.</t>
        </is>
      </c>
      <c r="K151" s="10" t="inlineStr">
        <is>
          <t>—</t>
        </is>
      </c>
      <c r="L151" s="10" t="inlineStr">
        <is>
          <t>M-07</t>
        </is>
      </c>
      <c r="M151" s="10" t="inlineStr">
        <is>
          <t>HM OI-10</t>
        </is>
      </c>
      <c r="N151" s="15" t="inlineStr">
        <is>
          <t>Open — content needed</t>
        </is>
      </c>
    </row>
    <row r="152">
      <c r="A152" s="12" t="inlineStr">
        <is>
          <t>Hiring manager</t>
        </is>
      </c>
      <c r="B152" s="12" t="inlineStr">
        <is>
          <t>H-07</t>
        </is>
      </c>
      <c r="C152" s="12" t="inlineStr">
        <is>
          <t>Choose an onboarding buddy</t>
        </is>
      </c>
      <c r="D152" s="12" t="inlineStr">
        <is>
          <t>#/hm/buddy</t>
        </is>
      </c>
      <c r="E152" s="12" t="inlineStr">
        <is>
          <t>Consequence</t>
        </is>
      </c>
      <c r="F152" s="12" t="inlineStr">
        <is>
          <t>What happens now: assigned → notified → visible → changeable</t>
        </is>
      </c>
      <c r="G152" s="12" t="inlineStr">
        <is>
          <t>Display ×4</t>
        </is>
      </c>
      <c r="H152" s="12" t="inlineStr">
        <is>
          <t>n/a</t>
        </is>
      </c>
      <c r="I152" s="12" t="inlineStr">
        <is>
          <t>—</t>
        </is>
      </c>
      <c r="J152" s="12" t="inlineStr">
        <is>
          <t>Makes the downstream effects of the assignment visible.</t>
        </is>
      </c>
      <c r="K152" s="12" t="inlineStr">
        <is>
          <t>NH people rail</t>
        </is>
      </c>
      <c r="L152" s="12" t="inlineStr">
        <is>
          <t>L-01 / L-09</t>
        </is>
      </c>
      <c r="M152" s="12" t="inlineStr">
        <is>
          <t>PRD S2-US18 AC2-3</t>
        </is>
      </c>
      <c r="N152" s="13" t="inlineStr">
        <is>
          <t>Aligned</t>
        </is>
      </c>
    </row>
    <row r="153">
      <c r="A153" s="10" t="inlineStr">
        <is>
          <t>Hiring manager</t>
        </is>
      </c>
      <c r="B153" s="10" t="inlineStr">
        <is>
          <t>H-08</t>
        </is>
      </c>
      <c r="C153" s="10" t="inlineStr">
        <is>
          <t>Set up their first day</t>
        </is>
      </c>
      <c r="D153" s="10" t="inlineStr">
        <is>
          <t>#/hm/calendar</t>
        </is>
      </c>
      <c r="E153" s="10" t="inlineStr">
        <is>
          <t>Auto hold</t>
        </is>
      </c>
      <c r="F153" s="10" t="inlineStr">
        <is>
          <t>Day 1 one-to-one — placed automatically, cannot be deleted</t>
        </is>
      </c>
      <c r="G153" s="10" t="inlineStr">
        <is>
          <t>Calendar hold</t>
        </is>
      </c>
      <c r="H153" s="10" t="inlineStr">
        <is>
          <t>Yes</t>
        </is>
      </c>
      <c r="I153" s="10" t="inlineStr">
        <is>
          <t>System</t>
        </is>
      </c>
      <c r="J153" s="10" t="inlineStr">
        <is>
          <t>One hour immediately after the cohort lunch. Reschedule only.</t>
        </is>
      </c>
      <c r="K153" s="10" t="inlineStr">
        <is>
          <t>Outlook</t>
        </is>
      </c>
      <c r="L153" s="10" t="inlineStr">
        <is>
          <t>M-06</t>
        </is>
      </c>
      <c r="M153" s="10" t="inlineStr">
        <is>
          <t>BTR activity 17</t>
        </is>
      </c>
      <c r="N153" s="13" t="inlineStr">
        <is>
          <t>Aligned</t>
        </is>
      </c>
    </row>
    <row r="154">
      <c r="A154" s="12" t="inlineStr">
        <is>
          <t>Hiring manager</t>
        </is>
      </c>
      <c r="B154" s="12" t="inlineStr">
        <is>
          <t>H-08</t>
        </is>
      </c>
      <c r="C154" s="12" t="inlineStr">
        <is>
          <t>Set up their first day</t>
        </is>
      </c>
      <c r="D154" s="12" t="inlineStr">
        <is>
          <t>#/hm/calendar</t>
        </is>
      </c>
      <c r="E154" s="12" t="inlineStr">
        <is>
          <t>Blueprint hold</t>
        </is>
      </c>
      <c r="F154" s="12" t="inlineStr">
        <is>
          <t>New Hire Orientation — read-only</t>
        </is>
      </c>
      <c r="G154" s="12" t="inlineStr">
        <is>
          <t>Calendar hold</t>
        </is>
      </c>
      <c r="H154" s="12" t="inlineStr">
        <is>
          <t>n/a</t>
        </is>
      </c>
      <c r="I154" s="12" t="inlineStr">
        <is>
          <t>NHO blueprint</t>
        </is>
      </c>
      <c r="J154" s="12" t="inlineStr">
        <is>
          <t>PEX owns it; the manager cannot move it.</t>
        </is>
      </c>
      <c r="K154" s="12" t="inlineStr">
        <is>
          <t>—</t>
        </is>
      </c>
      <c r="L154" s="12" t="inlineStr">
        <is>
          <t>M-06</t>
        </is>
      </c>
      <c r="M154" s="12" t="inlineStr">
        <is>
          <t>PRD S3-US06</t>
        </is>
      </c>
      <c r="N154" s="13" t="inlineStr">
        <is>
          <t>Aligned</t>
        </is>
      </c>
    </row>
    <row r="155">
      <c r="A155" s="10" t="inlineStr">
        <is>
          <t>Hiring manager</t>
        </is>
      </c>
      <c r="B155" s="10" t="inlineStr">
        <is>
          <t>H-08</t>
        </is>
      </c>
      <c r="C155" s="10" t="inlineStr">
        <is>
          <t>Set up their first day</t>
        </is>
      </c>
      <c r="D155" s="10" t="inlineStr">
        <is>
          <t>#/hm/calendar</t>
        </is>
      </c>
      <c r="E155" s="10" t="inlineStr">
        <is>
          <t>Suggested</t>
        </is>
      </c>
      <c r="F155" s="10" t="inlineStr">
        <is>
          <t>Team intro · buddy check-in · IT setup window</t>
        </is>
      </c>
      <c r="G155" s="10" t="inlineStr">
        <is>
          <t>Checkbox ×3</t>
        </is>
      </c>
      <c r="H155" s="10" t="inlineStr">
        <is>
          <t>No</t>
        </is>
      </c>
      <c r="I155" s="10" t="inlineStr">
        <is>
          <t>Blueprint suggestion</t>
        </is>
      </c>
      <c r="J155" s="10" t="inlineStr">
        <is>
          <t>Accepted one at a time today. If auto-created, the screen becomes a glance.</t>
        </is>
      </c>
      <c r="K155" s="10" t="inlineStr">
        <is>
          <t>—</t>
        </is>
      </c>
      <c r="L155" s="10" t="inlineStr">
        <is>
          <t>M-06</t>
        </is>
      </c>
      <c r="M155" s="10" t="inlineStr">
        <is>
          <t>HM OI-13</t>
        </is>
      </c>
      <c r="N155" s="15" t="inlineStr">
        <is>
          <t>Open — BLOCKS BUILD</t>
        </is>
      </c>
    </row>
    <row r="156">
      <c r="A156" s="12" t="inlineStr">
        <is>
          <t>Hiring manager</t>
        </is>
      </c>
      <c r="B156" s="12" t="inlineStr">
        <is>
          <t>H-10</t>
        </is>
      </c>
      <c r="C156" s="12" t="inlineStr">
        <is>
          <t>Send a welcome note</t>
        </is>
      </c>
      <c r="D156" s="12" t="inlineStr">
        <is>
          <t>#/hm/welcome</t>
        </is>
      </c>
      <c r="E156" s="12" t="inlineStr">
        <is>
          <t>Recipient</t>
        </is>
      </c>
      <c r="F156" s="12" t="inlineStr">
        <is>
          <t>To — the new hire's personal email (read-only)</t>
        </is>
      </c>
      <c r="G156" s="12" t="inlineStr">
        <is>
          <t>Display</t>
        </is>
      </c>
      <c r="H156" s="12" t="inlineStr">
        <is>
          <t>n/a</t>
        </is>
      </c>
      <c r="I156" s="12" t="inlineStr">
        <is>
          <t>Personal details task</t>
        </is>
      </c>
      <c r="J156" s="12" t="inlineStr">
        <is>
          <t>Depends on the new hire having supplied it.</t>
        </is>
      </c>
      <c r="K156" s="12" t="inlineStr">
        <is>
          <t>NH personal details</t>
        </is>
      </c>
      <c r="L156" s="12" t="inlineStr">
        <is>
          <t>—</t>
        </is>
      </c>
      <c r="M156" s="12" t="inlineStr">
        <is>
          <t>HM Fields H-10.1</t>
        </is>
      </c>
      <c r="N156" s="13" t="inlineStr">
        <is>
          <t>Aligned</t>
        </is>
      </c>
    </row>
    <row r="157">
      <c r="A157" s="10" t="inlineStr">
        <is>
          <t>Hiring manager</t>
        </is>
      </c>
      <c r="B157" s="10" t="inlineStr">
        <is>
          <t>H-10</t>
        </is>
      </c>
      <c r="C157" s="10" t="inlineStr">
        <is>
          <t>Send a welcome note</t>
        </is>
      </c>
      <c r="D157" s="10" t="inlineStr">
        <is>
          <t>#/hm/welcome</t>
        </is>
      </c>
      <c r="E157" s="10" t="inlineStr">
        <is>
          <t>Body</t>
        </is>
      </c>
      <c r="F157" s="10" t="inlineStr">
        <is>
          <t>Standard welcome, pre-filled and editable</t>
        </is>
      </c>
      <c r="G157" s="10" t="inlineStr">
        <is>
          <t>Rich text</t>
        </is>
      </c>
      <c r="H157" s="10" t="inlineStr">
        <is>
          <t>Yes</t>
        </is>
      </c>
      <c r="I157" s="10" t="inlineStr">
        <is>
          <t>Boilerplate</t>
        </is>
      </c>
      <c r="J157" s="10" t="inlineStr">
        <is>
          <t>Written for the manager, not by them.</t>
        </is>
      </c>
      <c r="K157" s="10" t="inlineStr">
        <is>
          <t>NH landing</t>
        </is>
      </c>
      <c r="L157" s="10" t="inlineStr">
        <is>
          <t>M-08</t>
        </is>
      </c>
      <c r="M157" s="10" t="inlineStr">
        <is>
          <t>HM Fields H-10.2</t>
        </is>
      </c>
      <c r="N157" s="15" t="inlineStr">
        <is>
          <t>Open — see Alignment G-13</t>
        </is>
      </c>
    </row>
    <row r="158">
      <c r="A158" s="12" t="inlineStr">
        <is>
          <t>Hiring manager</t>
        </is>
      </c>
      <c r="B158" s="12" t="inlineStr">
        <is>
          <t>H-10</t>
        </is>
      </c>
      <c r="C158" s="12" t="inlineStr">
        <is>
          <t>Send a welcome note</t>
        </is>
      </c>
      <c r="D158" s="12" t="inlineStr">
        <is>
          <t>#/hm/welcome</t>
        </is>
      </c>
      <c r="E158" s="12" t="inlineStr">
        <is>
          <t>Body</t>
        </is>
      </c>
      <c r="F158" s="12" t="inlineStr">
        <is>
          <t>Your personal message</t>
        </is>
      </c>
      <c r="G158" s="12" t="inlineStr">
        <is>
          <t>Multi line text</t>
        </is>
      </c>
      <c r="H158" s="12" t="inlineStr">
        <is>
          <t>Recommended</t>
        </is>
      </c>
      <c r="I158" s="12" t="inlineStr">
        <is>
          <t>Blank</t>
        </is>
      </c>
      <c r="J158" s="12" t="inlineStr">
        <is>
          <t>The only part that genuinely needs the manager.</t>
        </is>
      </c>
      <c r="K158" s="12" t="inlineStr">
        <is>
          <t>NH landing</t>
        </is>
      </c>
      <c r="L158" s="12" t="inlineStr">
        <is>
          <t>M-08</t>
        </is>
      </c>
      <c r="M158" s="12" t="inlineStr">
        <is>
          <t>HM Fields H-10.3</t>
        </is>
      </c>
      <c r="N158" s="15" t="inlineStr">
        <is>
          <t>Open</t>
        </is>
      </c>
    </row>
    <row r="159">
      <c r="A159" s="10" t="inlineStr">
        <is>
          <t>Hiring manager</t>
        </is>
      </c>
      <c r="B159" s="10" t="inlineStr">
        <is>
          <t>H-10</t>
        </is>
      </c>
      <c r="C159" s="10" t="inlineStr">
        <is>
          <t>Send a welcome note</t>
        </is>
      </c>
      <c r="D159" s="10" t="inlineStr">
        <is>
          <t>#/hm/welcome</t>
        </is>
      </c>
      <c r="E159" s="10" t="inlineStr">
        <is>
          <t>System block</t>
        </is>
      </c>
      <c r="F159" s="10" t="inlineStr">
        <is>
          <t>'What to expect in your first week' — read-only</t>
        </is>
      </c>
      <c r="G159" s="10" t="inlineStr">
        <is>
          <t>Display</t>
        </is>
      </c>
      <c r="H159" s="10" t="inlineStr">
        <is>
          <t>n/a</t>
        </is>
      </c>
      <c r="I159" s="10" t="inlineStr">
        <is>
          <t>New hire's task list</t>
        </is>
      </c>
      <c r="J159" s="10" t="inlineStr">
        <is>
          <t>Generated, not written. Manager cannot edit it.</t>
        </is>
      </c>
      <c r="K159" s="10" t="inlineStr">
        <is>
          <t>NH task list</t>
        </is>
      </c>
      <c r="L159" s="10" t="inlineStr">
        <is>
          <t>M-08</t>
        </is>
      </c>
      <c r="M159" s="10" t="inlineStr">
        <is>
          <t>HM Fields H-10.4</t>
        </is>
      </c>
      <c r="N159" s="15" t="inlineStr">
        <is>
          <t>Open</t>
        </is>
      </c>
    </row>
    <row r="160">
      <c r="A160" s="12" t="inlineStr">
        <is>
          <t>Hiring manager</t>
        </is>
      </c>
      <c r="B160" s="12" t="inlineStr">
        <is>
          <t>H-10</t>
        </is>
      </c>
      <c r="C160" s="12" t="inlineStr">
        <is>
          <t>Send a welcome note</t>
        </is>
      </c>
      <c r="D160" s="12" t="inlineStr">
        <is>
          <t>#/hm/welcome</t>
        </is>
      </c>
      <c r="E160" s="12" t="inlineStr">
        <is>
          <t>Sequencing</t>
        </is>
      </c>
      <c r="F160" s="12" t="inlineStr">
        <is>
          <t>Should land before the introduction is requested</t>
        </is>
      </c>
      <c r="G160" s="12" t="inlineStr">
        <is>
          <t>Display</t>
        </is>
      </c>
      <c r="H160" s="12" t="inlineStr">
        <is>
          <t>n/a</t>
        </is>
      </c>
      <c r="I160" s="12" t="inlineStr">
        <is>
          <t>—</t>
        </is>
      </c>
      <c r="J160" s="12" t="inlineStr">
        <is>
          <t>Stated, not enforced. Three welcome messages compete for the same week.</t>
        </is>
      </c>
      <c r="K160" s="12" t="inlineStr">
        <is>
          <t>NH introduction</t>
        </is>
      </c>
      <c r="L160" s="12" t="inlineStr">
        <is>
          <t>L-08</t>
        </is>
      </c>
      <c r="M160" s="12" t="inlineStr">
        <is>
          <t>Merge Analysis 7</t>
        </is>
      </c>
      <c r="N160" s="15" t="inlineStr">
        <is>
          <t>Open</t>
        </is>
      </c>
    </row>
    <row r="161">
      <c r="A161" s="10" t="inlineStr">
        <is>
          <t>Hiring manager</t>
        </is>
      </c>
      <c r="B161" s="10" t="inlineStr">
        <is>
          <t>H-11</t>
        </is>
      </c>
      <c r="C161" s="10" t="inlineStr">
        <is>
          <t>Name who they should meet</t>
        </is>
      </c>
      <c r="D161" s="10" t="inlineStr">
        <is>
          <t>#/hm/network</t>
        </is>
      </c>
      <c r="E161" s="10" t="inlineStr">
        <is>
          <t>Framing</t>
        </is>
      </c>
      <c r="F161" s="10" t="inlineStr">
        <is>
          <t>This adds to your workload — the only item that does</t>
        </is>
      </c>
      <c r="G161" s="10" t="inlineStr">
        <is>
          <t>Display</t>
        </is>
      </c>
      <c r="H161" s="10" t="inlineStr">
        <is>
          <t>n/a</t>
        </is>
      </c>
      <c r="I161" s="10" t="inlineStr">
        <is>
          <t>—</t>
        </is>
      </c>
      <c r="J161" s="10" t="inlineStr">
        <is>
          <t>Stated on the screen rather than hidden.</t>
        </is>
      </c>
      <c r="K161" s="10" t="inlineStr">
        <is>
          <t>—</t>
        </is>
      </c>
      <c r="L161" s="10" t="inlineStr">
        <is>
          <t>M-10</t>
        </is>
      </c>
      <c r="M161" s="10" t="inlineStr">
        <is>
          <t>HM OI-26</t>
        </is>
      </c>
      <c r="N161" s="15" t="inlineStr">
        <is>
          <t>Open — needs decision</t>
        </is>
      </c>
    </row>
    <row r="162">
      <c r="A162" s="12" t="inlineStr">
        <is>
          <t>Hiring manager</t>
        </is>
      </c>
      <c r="B162" s="12" t="inlineStr">
        <is>
          <t>H-11</t>
        </is>
      </c>
      <c r="C162" s="12" t="inlineStr">
        <is>
          <t>Name who they should meet</t>
        </is>
      </c>
      <c r="D162" s="12" t="inlineStr">
        <is>
          <t>#/hm/network</t>
        </is>
      </c>
      <c r="E162" s="12" t="inlineStr">
        <is>
          <t>Selection</t>
        </is>
      </c>
      <c r="F162" s="12" t="inlineStr">
        <is>
          <t>Suggested people, pickable (7 in the pool)</t>
        </is>
      </c>
      <c r="G162" s="12" t="inlineStr">
        <is>
          <t>Checkbox list</t>
        </is>
      </c>
      <c r="H162" s="12" t="inlineStr">
        <is>
          <t>No</t>
        </is>
      </c>
      <c r="I162" s="12" t="inlineStr">
        <is>
          <t>Org data</t>
        </is>
      </c>
      <c r="J162" s="12" t="inlineStr">
        <is>
          <t>Five suggested with draft reasons; two unsuggested with none.</t>
        </is>
      </c>
      <c r="K162" s="12" t="inlineStr">
        <is>
          <t>NH network</t>
        </is>
      </c>
      <c r="L162" s="12" t="inlineStr">
        <is>
          <t>M-10</t>
        </is>
      </c>
      <c r="M162" s="12" t="inlineStr">
        <is>
          <t>HM H-11</t>
        </is>
      </c>
      <c r="N162" s="15" t="inlineStr">
        <is>
          <t>Open — see Alignment G-12</t>
        </is>
      </c>
    </row>
    <row r="163">
      <c r="A163" s="10" t="inlineStr">
        <is>
          <t>Hiring manager</t>
        </is>
      </c>
      <c r="B163" s="10" t="inlineStr">
        <is>
          <t>H-11</t>
        </is>
      </c>
      <c r="C163" s="10" t="inlineStr">
        <is>
          <t>Name who they should meet</t>
        </is>
      </c>
      <c r="D163" s="10" t="inlineStr">
        <is>
          <t>#/hm/network</t>
        </is>
      </c>
      <c r="E163" s="10" t="inlineStr">
        <is>
          <t>Reason</t>
        </is>
      </c>
      <c r="F163" s="10" t="inlineStr">
        <is>
          <t>Why should they meet this person? (required per person)</t>
        </is>
      </c>
      <c r="G163" s="10" t="inlineStr">
        <is>
          <t>Multi line text</t>
        </is>
      </c>
      <c r="H163" s="10" t="inlineStr">
        <is>
          <t>Yes per person</t>
        </is>
      </c>
      <c r="I163" s="10" t="inlineStr">
        <is>
          <t>Draft text</t>
        </is>
      </c>
      <c r="J163" s="10" t="inlineStr">
        <is>
          <t>Editable draft. Reaches the new hire verbatim.</t>
        </is>
      </c>
      <c r="K163" s="10" t="inlineStr">
        <is>
          <t>NH network</t>
        </is>
      </c>
      <c r="L163" s="10" t="inlineStr">
        <is>
          <t>L-06</t>
        </is>
      </c>
      <c r="M163" s="10" t="inlineStr">
        <is>
          <t>1:1 with platform owner</t>
        </is>
      </c>
      <c r="N163" s="15" t="inlineStr">
        <is>
          <t>Open</t>
        </is>
      </c>
    </row>
    <row r="164">
      <c r="A164" s="12" t="inlineStr">
        <is>
          <t>Hiring manager</t>
        </is>
      </c>
      <c r="B164" s="12" t="inlineStr">
        <is>
          <t>H-11</t>
        </is>
      </c>
      <c r="C164" s="12" t="inlineStr">
        <is>
          <t>Name who they should meet</t>
        </is>
      </c>
      <c r="D164" s="12" t="inlineStr">
        <is>
          <t>#/hm/network</t>
        </is>
      </c>
      <c r="E164" s="12" t="inlineStr">
        <is>
          <t>Threshold</t>
        </is>
      </c>
      <c r="F164" s="12" t="inlineStr">
        <is>
          <t>At least five people, each with a reason</t>
        </is>
      </c>
      <c r="G164" s="12" t="inlineStr">
        <is>
          <t>Validation</t>
        </is>
      </c>
      <c r="H164" s="12" t="inlineStr">
        <is>
          <t>Yes</t>
        </is>
      </c>
      <c r="I164" s="12" t="inlineStr">
        <is>
          <t>—</t>
        </is>
      </c>
      <c r="J164" s="12" t="inlineStr">
        <is>
          <t>Submit gated at five. Nobody has said what happens at three or twelve.</t>
        </is>
      </c>
      <c r="K164" s="12" t="inlineStr">
        <is>
          <t>NH network</t>
        </is>
      </c>
      <c r="L164" s="12" t="inlineStr">
        <is>
          <t>M-10</t>
        </is>
      </c>
      <c r="M164" s="12" t="inlineStr">
        <is>
          <t>1:1 with platform owner</t>
        </is>
      </c>
      <c r="N164" s="15" t="inlineStr">
        <is>
          <t>Open</t>
        </is>
      </c>
    </row>
    <row r="165">
      <c r="A165" s="10" t="inlineStr">
        <is>
          <t>Hiring manager</t>
        </is>
      </c>
      <c r="B165" s="10" t="inlineStr">
        <is>
          <t>H-11</t>
        </is>
      </c>
      <c r="C165" s="10" t="inlineStr">
        <is>
          <t>Name who they should meet</t>
        </is>
      </c>
      <c r="D165" s="10" t="inlineStr">
        <is>
          <t>#/hm/network</t>
        </is>
      </c>
      <c r="E165" s="10" t="inlineStr">
        <is>
          <t>Notification</t>
        </is>
      </c>
      <c r="F165" s="10" t="inlineStr">
        <is>
          <t>Each named person is notified</t>
        </is>
      </c>
      <c r="G165" s="10" t="inlineStr">
        <is>
          <t>Behaviour</t>
        </is>
      </c>
      <c r="H165" s="10" t="inlineStr">
        <is>
          <t>n/a</t>
        </is>
      </c>
      <c r="I165" s="10" t="inlineStr">
        <is>
          <t>—</t>
        </is>
      </c>
      <c r="J165" s="10" t="inlineStr">
        <is>
          <t>Shown as an effect; content of the notification not specified.</t>
        </is>
      </c>
      <c r="K165" s="10" t="inlineStr">
        <is>
          <t>Named people</t>
        </is>
      </c>
      <c r="L165" s="10" t="inlineStr">
        <is>
          <t>L-09</t>
        </is>
      </c>
      <c r="M165" s="10" t="inlineStr">
        <is>
          <t>1:1 with platform owner</t>
        </is>
      </c>
      <c r="N165" s="15" t="inlineStr">
        <is>
          <t>Open</t>
        </is>
      </c>
    </row>
    <row r="166">
      <c r="A166" s="12" t="inlineStr">
        <is>
          <t>Hiring manager</t>
        </is>
      </c>
      <c r="B166" s="12" t="inlineStr">
        <is>
          <t>H-16</t>
        </is>
      </c>
      <c r="C166" s="12" t="inlineStr">
        <is>
          <t>Forward the introduction</t>
        </is>
      </c>
      <c r="D166" s="12" t="inlineStr">
        <is>
          <t>#/hm/intro</t>
        </is>
      </c>
      <c r="E166" s="12" t="inlineStr">
        <is>
          <t>Arrival</t>
        </is>
      </c>
      <c r="F166" s="12" t="inlineStr">
        <is>
          <t>Task appears only after the new hire consents</t>
        </is>
      </c>
      <c r="G166" s="12" t="inlineStr">
        <is>
          <t>Task card</t>
        </is>
      </c>
      <c r="H166" s="12" t="inlineStr">
        <is>
          <t>n/a</t>
        </is>
      </c>
      <c r="I166" s="12" t="inlineStr">
        <is>
          <t>New hire consent</t>
        </is>
      </c>
      <c r="J166" s="12" t="inlineStr">
        <is>
          <t>No consent, no task — the gate is enforced across the join.</t>
        </is>
      </c>
      <c r="K166" s="12" t="inlineStr">
        <is>
          <t>NH introduction</t>
        </is>
      </c>
      <c r="L166" s="12" t="inlineStr">
        <is>
          <t>L-02</t>
        </is>
      </c>
      <c r="M166" s="12" t="inlineStr">
        <is>
          <t>No source — invented</t>
        </is>
      </c>
      <c r="N166" s="15" t="inlineStr">
        <is>
          <t>Open — no source</t>
        </is>
      </c>
    </row>
    <row r="167">
      <c r="A167" s="10" t="inlineStr">
        <is>
          <t>Hiring manager</t>
        </is>
      </c>
      <c r="B167" s="10" t="inlineStr">
        <is>
          <t>H-16</t>
        </is>
      </c>
      <c r="C167" s="10" t="inlineStr">
        <is>
          <t>Forward the introduction</t>
        </is>
      </c>
      <c r="D167" s="10" t="inlineStr">
        <is>
          <t>#/hm/intro</t>
        </is>
      </c>
      <c r="E167" s="10" t="inlineStr">
        <is>
          <t>Content</t>
        </is>
      </c>
      <c r="F167" s="10" t="inlineStr">
        <is>
          <t>What the new hire wrote, with their photo if shared</t>
        </is>
      </c>
      <c r="G167" s="10" t="inlineStr">
        <is>
          <t>Display</t>
        </is>
      </c>
      <c r="H167" s="10" t="inlineStr">
        <is>
          <t>n/a</t>
        </is>
      </c>
      <c r="I167" s="10" t="inlineStr">
        <is>
          <t>New hire task</t>
        </is>
      </c>
      <c r="J167" s="10" t="inlineStr">
        <is>
          <t>Read-only to the manager.</t>
        </is>
      </c>
      <c r="K167" s="10" t="inlineStr">
        <is>
          <t>NH introduction</t>
        </is>
      </c>
      <c r="L167" s="10" t="inlineStr">
        <is>
          <t>L-02</t>
        </is>
      </c>
      <c r="M167" s="10" t="inlineStr">
        <is>
          <t>No source — invented</t>
        </is>
      </c>
      <c r="N167" s="15" t="inlineStr">
        <is>
          <t>Open — no source</t>
        </is>
      </c>
    </row>
    <row r="168">
      <c r="A168" s="12" t="inlineStr">
        <is>
          <t>Hiring manager</t>
        </is>
      </c>
      <c r="B168" s="12" t="inlineStr">
        <is>
          <t>H-16</t>
        </is>
      </c>
      <c r="C168" s="12" t="inlineStr">
        <is>
          <t>Forward the introduction</t>
        </is>
      </c>
      <c r="D168" s="12" t="inlineStr">
        <is>
          <t>#/hm/intro</t>
        </is>
      </c>
      <c r="E168" s="12" t="inlineStr">
        <is>
          <t>Action</t>
        </is>
      </c>
      <c r="F168" s="12" t="inlineStr">
        <is>
          <t>Forward to the team</t>
        </is>
      </c>
      <c r="G168" s="12" t="inlineStr">
        <is>
          <t>Action</t>
        </is>
      </c>
      <c r="H168" s="12" t="inlineStr">
        <is>
          <t>No</t>
        </is>
      </c>
      <c r="I168" s="12" t="inlineStr">
        <is>
          <t>—</t>
        </is>
      </c>
      <c r="J168" s="12" t="inlineStr">
        <is>
          <t>Explicit send. Nothing auto-posts.</t>
        </is>
      </c>
      <c r="K168" s="12" t="inlineStr">
        <is>
          <t>Team channel</t>
        </is>
      </c>
      <c r="L168" s="12" t="inlineStr">
        <is>
          <t>A-14 / L-02</t>
        </is>
      </c>
      <c r="M168" s="12" t="inlineStr">
        <is>
          <t>NH OI-11</t>
        </is>
      </c>
      <c r="N168" s="15" t="inlineStr">
        <is>
          <t>Open</t>
        </is>
      </c>
    </row>
    <row r="169">
      <c r="A169" s="10" t="inlineStr">
        <is>
          <t>Hiring manager</t>
        </is>
      </c>
      <c r="B169" s="10" t="inlineStr">
        <is>
          <t>H-16</t>
        </is>
      </c>
      <c r="C169" s="10" t="inlineStr">
        <is>
          <t>Forward the introduction</t>
        </is>
      </c>
      <c r="D169" s="10" t="inlineStr">
        <is>
          <t>#/hm/intro</t>
        </is>
      </c>
      <c r="E169" s="10" t="inlineStr">
        <is>
          <t>Destination</t>
        </is>
      </c>
      <c r="F169" s="10" t="inlineStr">
        <is>
          <t>Where it goes: team channel, under the manager's name</t>
        </is>
      </c>
      <c r="G169" s="10" t="inlineStr">
        <is>
          <t>Display ×3</t>
        </is>
      </c>
      <c r="H169" s="10" t="inlineStr">
        <is>
          <t>n/a</t>
        </is>
      </c>
      <c r="I169" s="10" t="inlineStr">
        <is>
          <t>—</t>
        </is>
      </c>
      <c r="J169" s="10" t="inlineStr">
        <is>
          <t>New hire is told it was shared and when.</t>
        </is>
      </c>
      <c r="K169" s="10" t="inlineStr">
        <is>
          <t>NH notification</t>
        </is>
      </c>
      <c r="L169" s="10" t="inlineStr">
        <is>
          <t>L-02</t>
        </is>
      </c>
      <c r="M169" s="10" t="inlineStr">
        <is>
          <t>No source — invented</t>
        </is>
      </c>
      <c r="N169" s="15" t="inlineStr">
        <is>
          <t>Open — no source</t>
        </is>
      </c>
    </row>
    <row r="170">
      <c r="A170" s="12" t="inlineStr">
        <is>
          <t>Hiring manager</t>
        </is>
      </c>
      <c r="B170" s="12" t="inlineStr">
        <is>
          <t>H-06</t>
        </is>
      </c>
      <c r="C170" s="12" t="inlineStr">
        <is>
          <t>Corporate card</t>
        </is>
      </c>
      <c r="D170" s="12" t="inlineStr">
        <is>
          <t>#/hm/card</t>
        </is>
      </c>
      <c r="E170" s="12" t="inlineStr">
        <is>
          <t>Decision</t>
        </is>
      </c>
      <c r="F170" s="12" t="inlineStr">
        <is>
          <t>Will they travel on behalf of Equinix and need a card?</t>
        </is>
      </c>
      <c r="G170" s="12" t="inlineStr">
        <is>
          <t>Radio</t>
        </is>
      </c>
      <c r="H170" s="12" t="inlineStr">
        <is>
          <t>Yes</t>
        </is>
      </c>
      <c r="I170" s="12" t="inlineStr">
        <is>
          <t>Blank</t>
        </is>
      </c>
      <c r="J170" s="12" t="inlineStr">
        <is>
          <t>Framed around travel, not entitlement. One tap.</t>
        </is>
      </c>
      <c r="K170" s="12" t="inlineStr">
        <is>
          <t>NH Day 2 card</t>
        </is>
      </c>
      <c r="L170" s="12" t="inlineStr">
        <is>
          <t>M-19</t>
        </is>
      </c>
      <c r="M170" s="12" t="inlineStr">
        <is>
          <t>PRD v1.4</t>
        </is>
      </c>
      <c r="N170" s="14" t="inlineStr">
        <is>
          <t>Gap closed</t>
        </is>
      </c>
    </row>
    <row r="171">
      <c r="A171" s="10" t="inlineStr">
        <is>
          <t>Hiring manager</t>
        </is>
      </c>
      <c r="B171" s="10" t="inlineStr">
        <is>
          <t>H-06</t>
        </is>
      </c>
      <c r="C171" s="10" t="inlineStr">
        <is>
          <t>Corporate card</t>
        </is>
      </c>
      <c r="D171" s="10" t="inlineStr">
        <is>
          <t>#/hm/card</t>
        </is>
      </c>
      <c r="E171" s="10" t="inlineStr">
        <is>
          <t>Consequence</t>
        </is>
      </c>
      <c r="F171" s="10" t="inlineStr">
        <is>
          <t>What your yes sets off — four steps to the card provider</t>
        </is>
      </c>
      <c r="G171" s="10" t="inlineStr">
        <is>
          <t>Display</t>
        </is>
      </c>
      <c r="H171" s="10" t="inlineStr">
        <is>
          <t>n/a</t>
        </is>
      </c>
      <c r="I171" s="10" t="inlineStr">
        <is>
          <t>—</t>
        </is>
      </c>
      <c r="J171" s="10" t="inlineStr">
        <is>
          <t>Agreement on Day 2, weekly extract to Accounts Payable, provider issues the link.</t>
        </is>
      </c>
      <c r="K171" s="10" t="inlineStr">
        <is>
          <t>NH Day 2 card</t>
        </is>
      </c>
      <c r="L171" s="10" t="inlineStr">
        <is>
          <t>L-10</t>
        </is>
      </c>
      <c r="M171" s="10" t="inlineStr">
        <is>
          <t>PRD v1.4</t>
        </is>
      </c>
      <c r="N171" s="14" t="inlineStr">
        <is>
          <t>Gap closed</t>
        </is>
      </c>
    </row>
    <row r="172">
      <c r="A172" s="12" t="inlineStr">
        <is>
          <t>Hiring manager</t>
        </is>
      </c>
      <c r="B172" s="12" t="inlineStr">
        <is>
          <t>H-06</t>
        </is>
      </c>
      <c r="C172" s="12" t="inlineStr">
        <is>
          <t>Corporate card</t>
        </is>
      </c>
      <c r="D172" s="12" t="inlineStr">
        <is>
          <t>#/hm/card</t>
        </is>
      </c>
      <c r="E172" s="12" t="inlineStr">
        <is>
          <t>Consequence</t>
        </is>
      </c>
      <c r="F172" s="12" t="inlineStr">
        <is>
          <t>A no creates nothing, and the new hire never sees the subject</t>
        </is>
      </c>
      <c r="G172" s="12" t="inlineStr">
        <is>
          <t>Display</t>
        </is>
      </c>
      <c r="H172" s="12" t="inlineStr">
        <is>
          <t>n/a</t>
        </is>
      </c>
      <c r="I172" s="12" t="inlineStr">
        <is>
          <t>—</t>
        </is>
      </c>
      <c r="J172" s="12" t="inlineStr">
        <is>
          <t>The negative answer is a designed outcome, not an absence.</t>
        </is>
      </c>
      <c r="K172" s="12" t="inlineStr">
        <is>
          <t>NH landing</t>
        </is>
      </c>
      <c r="L172" s="12" t="inlineStr">
        <is>
          <t>L-10</t>
        </is>
      </c>
      <c r="M172" s="12" t="inlineStr">
        <is>
          <t>PRD v1.4</t>
        </is>
      </c>
      <c r="N172" s="14" t="inlineStr">
        <is>
          <t>Gap closed</t>
        </is>
      </c>
    </row>
    <row r="173">
      <c r="A173" s="10" t="inlineStr">
        <is>
          <t>Hiring manager</t>
        </is>
      </c>
      <c r="B173" s="10" t="inlineStr">
        <is>
          <t>H-06</t>
        </is>
      </c>
      <c r="C173" s="10" t="inlineStr">
        <is>
          <t>Corporate card</t>
        </is>
      </c>
      <c r="D173" s="10" t="inlineStr">
        <is>
          <t>#/hm/card</t>
        </is>
      </c>
      <c r="E173" s="10" t="inlineStr">
        <is>
          <t>Open</t>
        </is>
      </c>
      <c r="F173" s="10" t="inlineStr">
        <is>
          <t>Task name in the portal; cost centre and approver</t>
        </is>
      </c>
      <c r="G173" s="10" t="inlineStr">
        <is>
          <t>Display</t>
        </is>
      </c>
      <c r="H173" s="10" t="inlineStr">
        <is>
          <t>n/a</t>
        </is>
      </c>
      <c r="I173" s="10" t="inlineStr">
        <is>
          <t>—</t>
        </is>
      </c>
      <c r="J173" s="10" t="inlineStr">
        <is>
          <t>Two details the requirement itself leaves open.</t>
        </is>
      </c>
      <c r="K173" s="10" t="inlineStr">
        <is>
          <t>—</t>
        </is>
      </c>
      <c r="L173" s="10" t="inlineStr">
        <is>
          <t>M-19</t>
        </is>
      </c>
      <c r="M173" s="10" t="inlineStr">
        <is>
          <t>PRD v1.4</t>
        </is>
      </c>
      <c r="N173" s="15" t="inlineStr">
        <is>
          <t>Open — content needed</t>
        </is>
      </c>
    </row>
    <row r="174">
      <c r="A174" s="12" t="inlineStr">
        <is>
          <t>Hiring manager</t>
        </is>
      </c>
      <c r="B174" s="12" t="inlineStr">
        <is>
          <t>H-11</t>
        </is>
      </c>
      <c r="C174" s="12" t="inlineStr">
        <is>
          <t>Name who they should meet</t>
        </is>
      </c>
      <c r="D174" s="12" t="inlineStr">
        <is>
          <t>#/hm/network</t>
        </is>
      </c>
      <c r="E174" s="12" t="inlineStr">
        <is>
          <t>Platform</t>
        </is>
      </c>
      <c r="F174" s="12" t="inlineStr">
        <is>
          <t>Notice: this capability may already exist natively</t>
        </is>
      </c>
      <c r="G174" s="12" t="inlineStr">
        <is>
          <t>Display</t>
        </is>
      </c>
      <c r="H174" s="12" t="inlineStr">
        <is>
          <t>n/a</t>
        </is>
      </c>
      <c r="I174" s="12" t="inlineStr">
        <is>
          <t>Workday deck</t>
        </is>
      </c>
      <c r="J174" s="12" t="inlineStr">
        <is>
          <t>Flags that the platform ships people-to-meet and helpful-contacts already.</t>
        </is>
      </c>
      <c r="K174" s="12" t="inlineStr">
        <is>
          <t>—</t>
        </is>
      </c>
      <c r="L174" s="12" t="inlineStr">
        <is>
          <t>M-21</t>
        </is>
      </c>
      <c r="M174" s="12" t="inlineStr">
        <is>
          <t>Onboarding Workday deck</t>
        </is>
      </c>
      <c r="N174" s="15" t="inlineStr">
        <is>
          <t>Open — BLOCKS BUILD</t>
        </is>
      </c>
    </row>
    <row r="175">
      <c r="A175" s="10" t="inlineStr">
        <is>
          <t>Hiring manager</t>
        </is>
      </c>
      <c r="B175" s="10" t="inlineStr">
        <is>
          <t>H-10</t>
        </is>
      </c>
      <c r="C175" s="10" t="inlineStr">
        <is>
          <t>Send a welcome note</t>
        </is>
      </c>
      <c r="D175" s="10" t="inlineStr">
        <is>
          <t>#/hm/welcome</t>
        </is>
      </c>
      <c r="E175" s="10" t="inlineStr">
        <is>
          <t>Platform</t>
        </is>
      </c>
      <c r="F175" s="10" t="inlineStr">
        <is>
          <t>Notice: welcome memo may already exist natively</t>
        </is>
      </c>
      <c r="G175" s="10" t="inlineStr">
        <is>
          <t>Display</t>
        </is>
      </c>
      <c r="H175" s="10" t="inlineStr">
        <is>
          <t>n/a</t>
        </is>
      </c>
      <c r="I175" s="10" t="inlineStr">
        <is>
          <t>Workday deck</t>
        </is>
      </c>
      <c r="J175" s="10" t="inlineStr">
        <is>
          <t>Only the generated first-week block is clearly additive.</t>
        </is>
      </c>
      <c r="K175" s="10" t="inlineStr">
        <is>
          <t>—</t>
        </is>
      </c>
      <c r="L175" s="10" t="inlineStr">
        <is>
          <t>M-21</t>
        </is>
      </c>
      <c r="M175" s="10" t="inlineStr">
        <is>
          <t>Onboarding Workday deck</t>
        </is>
      </c>
      <c r="N175" s="15" t="inlineStr">
        <is>
          <t>Open — BLOCKS BUILD</t>
        </is>
      </c>
    </row>
    <row r="176">
      <c r="A176" s="12" t="inlineStr">
        <is>
          <t>Hiring manager</t>
        </is>
      </c>
      <c r="B176" s="12" t="inlineStr">
        <is>
          <t>H-SUB</t>
        </is>
      </c>
      <c r="C176" s="12" t="inlineStr">
        <is>
          <t>The subtraction review</t>
        </is>
      </c>
      <c r="D176" s="12" t="inlineStr">
        <is>
          <t>#/hm/subtraction</t>
        </is>
      </c>
      <c r="E176" s="12" t="inlineStr">
        <is>
          <t>All</t>
        </is>
      </c>
      <c r="F176" s="12" t="inlineStr">
        <is>
          <t>19 manager tasks grouped by verdict, with conditions</t>
        </is>
      </c>
      <c r="G176" s="12" t="inlineStr">
        <is>
          <t>Review screen</t>
        </is>
      </c>
      <c r="H176" s="12" t="inlineStr">
        <is>
          <t>n/a</t>
        </is>
      </c>
      <c r="I176" s="12" t="inlineStr">
        <is>
          <t>HM Task Disposition</t>
        </is>
      </c>
      <c r="J176" s="12" t="inlineStr">
        <is>
          <t>Remove rows struck through. Six groups: remove, automate, exception-only, keep, undecided, adds work.</t>
        </is>
      </c>
      <c r="K176" s="12" t="inlineStr">
        <is>
          <t>—</t>
        </is>
      </c>
      <c r="L176" s="12" t="inlineStr">
        <is>
          <t>M-09 / M-11 / M-12</t>
        </is>
      </c>
      <c r="M176" s="12" t="inlineStr">
        <is>
          <t>HM Task Disposition</t>
        </is>
      </c>
      <c r="N176" s="11" t="inlineStr">
        <is>
          <t>Mockup device</t>
        </is>
      </c>
    </row>
    <row r="177">
      <c r="A177" s="10" t="inlineStr">
        <is>
          <t>Shared</t>
        </is>
      </c>
      <c r="B177" s="10" t="inlineStr">
        <is>
          <t>HANDOFF</t>
        </is>
      </c>
      <c r="C177" s="10" t="inlineStr">
        <is>
          <t>How the two portals connect</t>
        </is>
      </c>
      <c r="D177" s="10" t="inlineStr">
        <is>
          <t>#/handoffs</t>
        </is>
      </c>
      <c r="E177" s="10" t="inlineStr">
        <is>
          <t>All</t>
        </is>
      </c>
      <c r="F177" s="10" t="inlineStr">
        <is>
          <t>Eleven handoffs with direction, live state and assumption</t>
        </is>
      </c>
      <c r="G177" s="10" t="inlineStr">
        <is>
          <t>Review screen</t>
        </is>
      </c>
      <c r="H177" s="10" t="inlineStr">
        <is>
          <t>n/a</t>
        </is>
      </c>
      <c r="I177" s="10" t="inlineStr">
        <is>
          <t>Computed</t>
        </is>
      </c>
      <c r="J177" s="10" t="inlineStr">
        <is>
          <t>Reads real state, so it shows what is wired right now. Buddy row flagged as a conflict.</t>
        </is>
      </c>
      <c r="K177" s="10" t="inlineStr">
        <is>
          <t>Both sides</t>
        </is>
      </c>
      <c r="L177" s="10" t="inlineStr">
        <is>
          <t>L-01…L-09</t>
        </is>
      </c>
      <c r="M177" s="10" t="inlineStr">
        <is>
          <t>This alignment pass</t>
        </is>
      </c>
      <c r="N177" s="11" t="inlineStr">
        <is>
          <t>Mockup device</t>
        </is>
      </c>
    </row>
    <row r="178">
      <c r="A178" s="12" t="inlineStr">
        <is>
          <t>Shared</t>
        </is>
      </c>
      <c r="B178" s="12" t="inlineStr">
        <is>
          <t>PROTO</t>
        </is>
      </c>
      <c r="C178" s="12" t="inlineStr">
        <is>
          <t>Prototype controls</t>
        </is>
      </c>
      <c r="D178" s="12" t="inlineStr">
        <is>
          <t>(bottom left)</t>
        </is>
      </c>
      <c r="E178" s="12" t="inlineStr">
        <is>
          <t>Controls</t>
        </is>
      </c>
      <c r="F178" s="12" t="inlineStr">
        <is>
          <t>Persona · country · runway · task-state scenario · buddy rule</t>
        </is>
      </c>
      <c r="G178" s="12" t="inlineStr">
        <is>
          <t>Prototype control</t>
        </is>
      </c>
      <c r="H178" s="12" t="inlineStr">
        <is>
          <t>n/a</t>
        </is>
      </c>
      <c r="I178" s="12" t="inlineStr">
        <is>
          <t>—</t>
        </is>
      </c>
      <c r="J178" s="12" t="inlineStr">
        <is>
          <t>Clearly labelled as not product UI.</t>
        </is>
      </c>
      <c r="K178" s="12" t="inlineStr">
        <is>
          <t>Both sides</t>
        </is>
      </c>
      <c r="L178" s="12" t="inlineStr">
        <is>
          <t>A-45 / L-01</t>
        </is>
      </c>
      <c r="M178" s="12" t="inlineStr">
        <is>
          <t>NH Stage 6</t>
        </is>
      </c>
      <c r="N178" s="11" t="inlineStr">
        <is>
          <t>Mockup device</t>
        </is>
      </c>
    </row>
    <row r="179">
      <c r="A179" s="10" t="inlineStr">
        <is>
          <t>Shared</t>
        </is>
      </c>
      <c r="B179" s="10" t="inlineStr">
        <is>
          <t>PROTO</t>
        </is>
      </c>
      <c r="C179" s="10" t="inlineStr">
        <is>
          <t>Assumptions &amp; gaps panel</t>
        </is>
      </c>
      <c r="D179" s="10" t="inlineStr">
        <is>
          <t>(ribbon)</t>
        </is>
      </c>
      <c r="E179" s="10" t="inlineStr">
        <is>
          <t>Panel</t>
        </is>
      </c>
      <c r="F179" s="10" t="inlineStr">
        <is>
          <t>82 entries, filterable by side, with provenance tags</t>
        </is>
      </c>
      <c r="G179" s="10" t="inlineStr">
        <is>
          <t>Panel</t>
        </is>
      </c>
      <c r="H179" s="10" t="inlineStr">
        <is>
          <t>n/a</t>
        </is>
      </c>
      <c r="I179" s="10" t="inlineStr">
        <is>
          <t>—</t>
        </is>
      </c>
      <c r="J179" s="10" t="inlineStr">
        <is>
          <t>50 new hire · 21 manager · 11 connection; 2 retired. Six provenance tags.</t>
        </is>
      </c>
      <c r="K179" s="10" t="inlineStr">
        <is>
          <t>Both sides</t>
        </is>
      </c>
      <c r="L179" s="10" t="inlineStr">
        <is>
          <t>all</t>
        </is>
      </c>
      <c r="M179" s="10" t="inlineStr">
        <is>
          <t>NH + HM specs</t>
        </is>
      </c>
      <c r="N179" s="11" t="inlineStr">
        <is>
          <t>Mockup device</t>
        </is>
      </c>
    </row>
    <row r="181">
      <c r="A181" s="17" t="inlineStr">
        <is>
          <t>COUNTS</t>
        </is>
      </c>
    </row>
    <row r="182">
      <c r="A182" s="18" t="inlineStr">
        <is>
          <t>Elements mapped</t>
        </is>
      </c>
      <c r="B182" s="19">
        <f>COUNTA(F5:F179)</f>
        <v/>
      </c>
    </row>
    <row r="183">
      <c r="A183" s="18" t="inlineStr">
        <is>
          <t>New hire side</t>
        </is>
      </c>
      <c r="B183" s="19">
        <f>COUNTIF(A5:A179,"New hire")</f>
        <v/>
      </c>
    </row>
    <row r="184">
      <c r="A184" s="18" t="inlineStr">
        <is>
          <t>Hiring manager side</t>
        </is>
      </c>
      <c r="B184" s="19">
        <f>COUNTIF(A5:A179,"Hiring manager")</f>
        <v/>
      </c>
    </row>
    <row r="185">
      <c r="A185" s="18" t="inlineStr">
        <is>
          <t>Elements with a cross-portal link</t>
        </is>
      </c>
      <c r="B185" s="19">
        <f>COUNTIFS(K5:K179,"&lt;&gt;—",K5:K179,"&lt;&gt;")</f>
        <v/>
      </c>
    </row>
    <row r="186">
      <c r="A186" s="18" t="inlineStr">
        <is>
          <t>Aligned</t>
        </is>
      </c>
      <c r="B186" s="19">
        <f>COUNTIF(N5:N179,"Aligned")</f>
        <v/>
      </c>
    </row>
    <row r="187">
      <c r="A187" s="18" t="inlineStr">
        <is>
          <t>Gap closed</t>
        </is>
      </c>
      <c r="B187" s="19">
        <f>COUNTIF(N5:N179,"Gap closed*")</f>
        <v/>
      </c>
    </row>
    <row r="188">
      <c r="A188" s="18" t="inlineStr">
        <is>
          <t>Open</t>
        </is>
      </c>
      <c r="B188" s="19">
        <f>COUNTIF(N5:N179,"Open*")</f>
        <v/>
      </c>
    </row>
    <row r="189">
      <c r="A189" s="18" t="inlineStr">
        <is>
          <t>Conflict</t>
        </is>
      </c>
      <c r="B189" s="19">
        <f>COUNTIF(N5:N179,"CONFLICT*")</f>
        <v/>
      </c>
    </row>
  </sheetData>
  <autoFilter ref="A4:N179"/>
  <mergeCells count="1">
    <mergeCell ref="A2:H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20" customWidth="1" min="3" max="3"/>
    <col width="50" customWidth="1" min="4" max="4"/>
    <col width="30" customWidth="1" min="5" max="5"/>
    <col width="62" customWidth="1" min="6" max="6"/>
    <col width="16" customWidth="1" min="7" max="7"/>
    <col width="52" customWidth="1" min="8" max="8"/>
    <col width="18" customWidth="1" min="9" max="9"/>
    <col width="15" customWidth="1" min="10" max="10"/>
    <col width="58" customWidth="1" min="11" max="11"/>
  </cols>
  <sheetData>
    <row r="1">
      <c r="A1" s="7" t="inlineStr">
        <is>
          <t>Alignment &amp; Gaps — mockups against the sources</t>
        </is>
      </c>
    </row>
    <row r="2" ht="30" customHeight="1">
      <c r="A2" s="8" t="inlineStr">
        <is>
          <t>One row per finding. Sort by Priority for the working list. Six rows block build. Four are conflicts between sources, which are the expensive ones because both readings are currently being designed towards. The last column records what the mockups were changed to do about each one.</t>
        </is>
      </c>
    </row>
    <row r="4" ht="30" customHeight="1">
      <c r="A4" s="9" t="inlineStr">
        <is>
          <t>Ref</t>
        </is>
      </c>
      <c r="B4" s="9" t="inlineStr">
        <is>
          <t>Area</t>
        </is>
      </c>
      <c r="C4" s="9" t="inlineStr">
        <is>
          <t>Screen(s)</t>
        </is>
      </c>
      <c r="D4" s="9" t="inlineStr">
        <is>
          <t>What the mockup does today</t>
        </is>
      </c>
      <c r="E4" s="9" t="inlineStr">
        <is>
          <t>Source of truth</t>
        </is>
      </c>
      <c r="F4" s="9" t="inlineStr">
        <is>
          <t>What the source says</t>
        </is>
      </c>
      <c r="G4" s="9" t="inlineStr">
        <is>
          <t>Verdict</t>
        </is>
      </c>
      <c r="H4" s="9" t="inlineStr">
        <is>
          <t>Action needed</t>
        </is>
      </c>
      <c r="I4" s="9" t="inlineStr">
        <is>
          <t>Owner</t>
        </is>
      </c>
      <c r="J4" s="9" t="inlineStr">
        <is>
          <t>Priority</t>
        </is>
      </c>
      <c r="K4" s="9" t="inlineStr">
        <is>
          <t>Closed in the mockup?</t>
        </is>
      </c>
    </row>
    <row r="5">
      <c r="A5" s="10" t="inlineStr">
        <is>
          <t>G-01</t>
        </is>
      </c>
      <c r="B5" s="10" t="inlineStr">
        <is>
          <t>Compliance pack — volume</t>
        </is>
      </c>
      <c r="C5" s="10" t="inlineStr">
        <is>
          <t>NH P-05</t>
        </is>
      </c>
      <c r="D5" s="10" t="inlineStr">
        <is>
          <t>Shows six global-core documents for a US hire, each acknowledged separately on one page.</t>
        </is>
      </c>
      <c r="E5" s="10" t="inlineStr">
        <is>
          <t>CR PC Onboarding Workflow Documents (current-state Workday BP)</t>
        </is>
      </c>
      <c r="F5" s="10" t="inlineStr">
        <is>
          <t>The live business process serves 416 document instances across 357 unique titles. A US hire receives ~36 instances, including a 28-document bundle: the US handbook, 25 state handbook addenda, the benefits booklet and GovDocs. Poland receives ~57, Brazil ~28, Japan ~19.</t>
        </is>
      </c>
      <c r="G5" s="15" t="inlineStr">
        <is>
          <t>GAP OPEN</t>
        </is>
      </c>
      <c r="H5" s="10" t="inlineStr">
        <is>
          <t>The mockup shows the intended future core, not what is served today. Decide explicitly what stays pre-Day 1, what moves to Day 1+, and what is retired. Until that is decided the mockup understates the task by an order of magnitude.</t>
        </is>
      </c>
      <c r="I5" s="10" t="inlineStr">
        <is>
          <t>Legal / PEX / HR Ops</t>
        </is>
      </c>
      <c r="J5" s="16" t="inlineStr">
        <is>
          <t>1 — Blocks build</t>
        </is>
      </c>
      <c r="K5" s="20" t="inlineStr">
        <is>
          <t>YES — the real US pack (28 documents) and the whole-process figure (416 instances) now appear on the policies screen, flagged as true-today-not-right. The decision itself is still yours.</t>
        </is>
      </c>
    </row>
    <row r="6">
      <c r="A6" s="12" t="inlineStr">
        <is>
          <t>G-02</t>
        </is>
      </c>
      <c r="B6" s="12" t="inlineStr">
        <is>
          <t>Compliance pack — language</t>
        </is>
      </c>
      <c r="C6" s="12" t="inlineStr">
        <is>
          <t>NH P-01c, NH P-05</t>
        </is>
      </c>
      <c r="D6" s="12" t="inlineStr">
        <is>
          <t>Preferred language is a user-selected field on Tab 3 which drives the language of policy documents.</t>
        </is>
      </c>
      <c r="E6" s="12" t="inlineStr">
        <is>
          <t>PRD v1.4 (Data Protection Policy section) + Global DPN pack (20 translations)</t>
        </is>
      </c>
      <c r="F6" s="12" t="inlineStr">
        <is>
          <t>The DPN 'must be auto displayed in the employee's local language for countries where a translated version is required'; English for all other countries. Language is derived from country, not chosen by the employee. Approved translations and the country list are supplied.</t>
        </is>
      </c>
      <c r="G6" s="16" t="inlineStr">
        <is>
          <t>CONFLICT</t>
        </is>
      </c>
      <c r="H6" s="12" t="inlineStr">
        <is>
          <t>Change the mechanism: derive document language from country of hire, and demote the preference field to a comms/UI preference (or drop it). Revise assumption A-03 — it currently describes the wrong model.</t>
        </is>
      </c>
      <c r="I6" s="12" t="inlineStr">
        <is>
          <t>Privacy / DIO</t>
        </is>
      </c>
      <c r="J6" s="16" t="inlineStr">
        <is>
          <t>1 — Blocks build</t>
        </is>
      </c>
      <c r="K6" s="20" t="inlineStr">
        <is>
          <t>YES — document language is now derived from country and stated on screen; the Tab 3 field is demoted to communications only. A-03 rewritten.</t>
        </is>
      </c>
    </row>
    <row r="7">
      <c r="A7" s="10" t="inlineStr">
        <is>
          <t>G-03</t>
        </is>
      </c>
      <c r="B7" s="10" t="inlineStr">
        <is>
          <t>Reading material — factsheet and handbook</t>
        </is>
      </c>
      <c r="C7" s="10" t="inlineStr">
        <is>
          <t>NH P-05</t>
        </is>
      </c>
      <c r="D7" s="10" t="inlineStr">
        <is>
          <t>Company factsheet and the country employee handbook are grouped separately as reading material with no acknowledgement.</t>
        </is>
      </c>
      <c r="E7" s="10" t="inlineStr">
        <is>
          <t>Commonality Design Logic Tracker rows 3 and 8</t>
        </is>
      </c>
      <c r="F7" s="10" t="inlineStr">
        <is>
          <t>Factsheet: Pre-Day 1, no acknowledgement, single global object with localised versions. Handbook: Pre-Day 1 through Day 30, no acknowledgement, country-conditional reference, key policies acknowledged separately as universal tasks.</t>
        </is>
      </c>
      <c r="G7" s="13" t="inlineStr">
        <is>
          <t>ALIGNED</t>
        </is>
      </c>
      <c r="H7" s="10" t="inlineStr">
        <is>
          <t>None. Note the workbook's own question of whether the factsheet is essential pre-boarding at all or better placed on Day 1.</t>
        </is>
      </c>
      <c r="I7" s="10" t="inlineStr">
        <is>
          <t>PEX</t>
        </is>
      </c>
      <c r="J7" s="21" t="inlineStr">
        <is>
          <t>4 — Monitor</t>
        </is>
      </c>
      <c r="K7" s="10" t="inlineStr">
        <is>
          <t>n/a — already aligned.</t>
        </is>
      </c>
    </row>
    <row r="8">
      <c r="A8" s="12" t="inlineStr">
        <is>
          <t>G-04</t>
        </is>
      </c>
      <c r="B8" s="12" t="inlineStr">
        <is>
          <t>Compliance pack — where content lives</t>
        </is>
      </c>
      <c r="C8" s="12" t="inlineStr">
        <is>
          <t>NH P-05</t>
        </is>
      </c>
      <c r="D8" s="12" t="inlineStr">
        <is>
          <t>Code of Business Conduct is treated as an external site: opens in a new tab, needs Equinix sign-in, returns to a page that remembers position and unlocks the acknowledgement.</t>
        </is>
      </c>
      <c r="E8" s="12" t="inlineStr">
        <is>
          <t>PRD v1.4 architectural question</t>
        </is>
      </c>
      <c r="F8" s="12" t="inlineStr">
        <is>
          <t>Explicitly unresolved: 'can we point to our global/universal compliance policies page via MyHR (where all versions/translations live) and still get a check-the-box acknowledgement, or do we need to copy the artifacts directly into ServiceNow (or Workday)?'</t>
        </is>
      </c>
      <c r="G8" s="15" t="inlineStr">
        <is>
          <t>GAP OPEN</t>
        </is>
      </c>
      <c r="H8" s="12" t="inlineStr">
        <is>
          <t>Settle the architecture. The mockup has picked link-out-and-return for one document and inline for five; that split should be a decision, not an accident of which source described which.</t>
        </is>
      </c>
      <c r="I8" s="12" t="inlineStr">
        <is>
          <t>DIO / Legal</t>
        </is>
      </c>
      <c r="J8" s="16" t="inlineStr">
        <is>
          <t>1 — Blocks build</t>
        </is>
      </c>
      <c r="K8" s="22" t="inlineStr">
        <is>
          <t>NO — an architecture decision, not a mockup change. The inline-versus-link-out split stays visible on screen.</t>
        </is>
      </c>
    </row>
    <row r="9">
      <c r="A9" s="10" t="inlineStr">
        <is>
          <t>G-05</t>
        </is>
      </c>
      <c r="B9" s="10" t="inlineStr">
        <is>
          <t>Benefits — dependency</t>
        </is>
      </c>
      <c r="C9" s="10" t="inlineStr">
        <is>
          <t>NH P-00 Coming up</t>
        </is>
      </c>
      <c r="D9" s="10" t="inlineStr">
        <is>
          <t>Benefits enrolment shows as a Coming up card that opens 30 days before the start date.</t>
        </is>
      </c>
      <c r="E9" s="10" t="inlineStr">
        <is>
          <t>PRD v1.4 UC-S2-06</t>
        </is>
      </c>
      <c r="F9" s="10" t="inlineStr">
        <is>
          <t>Card enabled 30 days before start. Dependency: a Workday pre-hire employee ID is required before the task can appear, because Darwin and Benefax use employee number as the unique identifier. No ServiceNow integration is needed — a link suffices. Both platforms remain until at least 2028.</t>
        </is>
      </c>
      <c r="G9" s="14" t="inlineStr">
        <is>
          <t>GAP CLOSED</t>
        </is>
      </c>
      <c r="H9" s="10" t="inlineStr">
        <is>
          <t>Add the employee-ID dependency to the card's explanation, so the disabled state says what it is actually waiting for rather than only naming a date.</t>
        </is>
      </c>
      <c r="I9" s="10" t="inlineStr">
        <is>
          <t>Benefits COE / DIO</t>
        </is>
      </c>
      <c r="J9" s="23" t="inlineStr">
        <is>
          <t>3 — Content</t>
        </is>
      </c>
      <c r="K9" s="20" t="inlineStr">
        <is>
          <t>YES — the benefits card now says it waits on the employee number, not only on a date.</t>
        </is>
      </c>
    </row>
    <row r="10">
      <c r="A10" s="12" t="inlineStr">
        <is>
          <t>G-06</t>
        </is>
      </c>
      <c r="B10" s="12" t="inlineStr">
        <is>
          <t>Corporate card</t>
        </is>
      </c>
      <c r="C10" s="12" t="inlineStr">
        <is>
          <t>HM subtraction review</t>
        </is>
      </c>
      <c r="D10" s="12" t="inlineStr">
        <is>
          <t>Listed as Undecided and deliberately not built, on the grounds that the source row was truncated.</t>
        </is>
      </c>
      <c r="E10" s="12" t="inlineStr">
        <is>
          <t>PRD v1.4 (Citi Corporate Card section)</t>
        </is>
      </c>
      <c r="F10" s="12" t="inlineStr">
        <is>
          <t>Now fully specified. A pre-start manager task: 'New hire will travel on behalf of Equinix and be provided a corporate card' — yes/no. If yes, conditional logic creates a task for the new hire on Day 2 (post start date): PDF review plus e-signature. A weekly extract of completed agreements goes to Accounts Payable, who submit to Citi; Citi then sends an individualised application link. Extract fields: first name, last name, email, cost centre, country, EQXID, employee number, shipping address. Contingent workers out of scope. Citi cannot host the agreement, so it lives in Workday and/or ServiceNow.</t>
        </is>
      </c>
      <c r="G10" s="24" t="inlineStr">
        <is>
          <t>SUPERSEDED</t>
        </is>
      </c>
      <c r="H10" s="12" t="inlineStr">
        <is>
          <t>Build it. Manager side: a yes/no framed around travel, not a generic entitlement. New hire side: a Day 2 boundary card, since it is explicitly post-start. Retire assumption M-12. Open sub-question the PRD itself asks: what is the task called in the portal?</t>
        </is>
      </c>
      <c r="I10" s="12" t="inlineStr">
        <is>
          <t>Finance / PEX / DIO</t>
        </is>
      </c>
      <c r="J10" s="15" t="inlineStr">
        <is>
          <t>2 — Build now</t>
        </is>
      </c>
      <c r="K10" s="20" t="inlineStr">
        <is>
          <t>YES — built on both sides. Manager yes/no framed around travel; the new hire sees a Day 2 item only when the answer is yes. M-12 retired; M-19 and L-10 added.</t>
        </is>
      </c>
    </row>
    <row r="11">
      <c r="A11" s="10" t="inlineStr">
        <is>
          <t>G-07</t>
        </is>
      </c>
      <c r="B11" s="10" t="inlineStr">
        <is>
          <t>Personal details — ownership and field list</t>
        </is>
      </c>
      <c r="C11" s="10" t="inlineStr">
        <is>
          <t>NH P-01, banking boundary</t>
        </is>
      </c>
      <c r="D11" s="10" t="inlineStr">
        <is>
          <t>Renders the full personal-details wizard with banking as a locked boundary card, flagged as a proposal pending an ownership ruling.</t>
        </is>
      </c>
      <c r="E11" s="10" t="inlineStr">
        <is>
          <t>PRD v1.4 (Payroll / ADP mandatory fields)</t>
        </is>
      </c>
      <c r="F11" s="10" t="inlineStr">
        <is>
          <t>New requirement: the Workday scrum team is building mandatory fields required for the ADP payroll integration, to be surfaced through 'a new, globally universal form in the preboarding SNOW portal experience'. An 80/20 split — core universal fields for 80% of hires, conditional logic for local compliance fields for the remaining 20%. Expected Q3 and explicitly in scope for this PRD.</t>
        </is>
      </c>
      <c r="G11" s="23" t="inlineStr">
        <is>
          <t>NEW REQUIREMENT</t>
        </is>
      </c>
      <c r="H11" s="10" t="inlineStr">
        <is>
          <t>This is the same form the mockup already draws, arriving from the payroll side with a defined field list. Reconcile the wizard against the mandatory-field list when it lands. It also largely answers the ownership question that assumption A-10 is parked on.</t>
        </is>
      </c>
      <c r="I11" s="10" t="inlineStr">
        <is>
          <t>HR Ops / Payroll / DIO</t>
        </is>
      </c>
      <c r="J11" s="16" t="inlineStr">
        <is>
          <t>1 — Blocks build</t>
        </is>
      </c>
      <c r="K11" s="25" t="inlineStr">
        <is>
          <t>PARTLY — the wizard is unchanged and remains the vehicle. It cannot be reconciled until the mandatory-field list lands.</t>
        </is>
      </c>
    </row>
    <row r="12">
      <c r="A12" s="12" t="inlineStr">
        <is>
          <t>G-08</t>
        </is>
      </c>
      <c r="B12" s="12" t="inlineStr">
        <is>
          <t>Identity document capture</t>
        </is>
      </c>
      <c r="C12" s="12" t="inlineStr">
        <is>
          <t>NH P-01a</t>
        </is>
      </c>
      <c r="D12" s="12" t="inlineStr">
        <is>
          <t>Identity and right-to-work documents are captured on Tab 1, alongside country of hire, with a visible callout that this overlaps a separate task and is a proposal.</t>
        </is>
      </c>
      <c r="E12" s="12" t="inlineStr">
        <is>
          <t>Future State workflow Seq 11; NH spec A-29 / A-30</t>
        </is>
      </c>
      <c r="F12" s="12" t="inlineStr">
        <is>
          <t>Country-specific employment checks remain their own conditional task ('Complete I-9 Section 1 for U.S., right-to-work or medical checks where required'), routed in the portal or deep-linked. Nothing endorses capturing the document twice.</t>
        </is>
      </c>
      <c r="G12" s="15" t="inlineStr">
        <is>
          <t>GAP OPEN</t>
        </is>
      </c>
      <c r="H12" s="12" t="inlineStr">
        <is>
          <t>Decide whether capture-once is worth the overlap. The PEX document-sequencing work reportedly already specifies which documents come early and which come late — get that before building either version.</t>
        </is>
      </c>
      <c r="I12" s="12" t="inlineStr">
        <is>
          <t>PEX / Legal</t>
        </is>
      </c>
      <c r="J12" s="15" t="inlineStr">
        <is>
          <t>2 — Build now</t>
        </is>
      </c>
      <c r="K12" s="22" t="inlineStr">
        <is>
          <t>NO — needs the document-sequencing decision. Still flagged on screen as a proposal.</t>
        </is>
      </c>
    </row>
    <row r="13">
      <c r="A13" s="10" t="inlineStr">
        <is>
          <t>G-09</t>
        </is>
      </c>
      <c r="B13" s="10" t="inlineStr">
        <is>
          <t>Inside Equinix</t>
        </is>
      </c>
      <c r="C13" s="10" t="inlineStr">
        <is>
          <t>NH P-00 rail</t>
        </is>
      </c>
      <c r="D13" s="10" t="inlineStr">
        <is>
          <t>Parked in the right-hand rail as reference reading, expanding to name the six chapters, with the carousel recorded only as future intent.</t>
        </is>
      </c>
      <c r="E13" s="10" t="inlineStr">
        <is>
          <t>PRD v1.4 UI request</t>
        </is>
      </c>
      <c r="F13" s="10" t="inlineStr">
        <is>
          <t>Now specified: 'Have a carousel at the top of the onboarding portal UI that rotates through the Inside Equinix sections (chapters 01-06)... in addition to the carousel, we will link to this in the right hand bar for Additional Reading content. No tasks but turn on access and the carousel as pre-hire content.' The same content also appears in New Hire Orientation and in the manager's weekly task list.</t>
        </is>
      </c>
      <c r="G13" s="14" t="inlineStr">
        <is>
          <t>GAP CLOSED</t>
        </is>
      </c>
      <c r="H13" s="10" t="inlineStr">
        <is>
          <t>Build the carousel above the progress tracker and keep the rail link. Assumption A-35's three-way question is answered — it is both, and it is not a task. This is the substance of the Consideration tab.</t>
        </is>
      </c>
      <c r="I13" s="10" t="inlineStr">
        <is>
          <t>PEX / Employee Comms</t>
        </is>
      </c>
      <c r="J13" s="15" t="inlineStr">
        <is>
          <t>2 — Build now</t>
        </is>
      </c>
      <c r="K13" s="20" t="inlineStr">
        <is>
          <t>YES — carousel built above the progress tracker, rail link kept. A-35 rewritten as answered.</t>
        </is>
      </c>
    </row>
    <row r="14">
      <c r="A14" s="12" t="inlineStr">
        <is>
          <t>G-10</t>
        </is>
      </c>
      <c r="B14" s="12" t="inlineStr">
        <is>
          <t>Compliance pack — structure</t>
        </is>
      </c>
      <c r="C14" s="12" t="inlineStr">
        <is>
          <t>NH P-05</t>
        </is>
      </c>
      <c r="D14" s="12" t="inlineStr">
        <is>
          <t>One page presenting several documents, each acknowledged separately, with a single submit at the end.</t>
        </is>
      </c>
      <c r="E14" s="12" t="inlineStr">
        <is>
          <t>PRD v1.4 (Global, Universal Compliance Policies)</t>
        </is>
      </c>
      <c r="F14" s="12" t="inlineStr">
        <is>
          <t>'Ideally this policy will wrap under all other global compliance policies into one umbrella task, Global Compliance Policies, with subtasks — e.g., Data Protection Policy.' The umbrella task and its subtask both remain outstanding until acknowledgement is complete.</t>
        </is>
      </c>
      <c r="G14" s="13" t="inlineStr">
        <is>
          <t>ALIGNED</t>
        </is>
      </c>
      <c r="H14" s="12" t="inlineStr">
        <is>
          <t>None — the mockup already implements umbrella-plus-subtasks. Worth naming the page 'Global Compliance Policies' to match the language the build will use.</t>
        </is>
      </c>
      <c r="I14" s="12" t="inlineStr">
        <is>
          <t>DIO</t>
        </is>
      </c>
      <c r="J14" s="21" t="inlineStr">
        <is>
          <t>4 — Monitor</t>
        </is>
      </c>
      <c r="K14" s="12" t="inlineStr">
        <is>
          <t>n/a — already aligned.</t>
        </is>
      </c>
    </row>
    <row r="15">
      <c r="A15" s="10" t="inlineStr">
        <is>
          <t>G-11</t>
        </is>
      </c>
      <c r="B15" s="10" t="inlineStr">
        <is>
          <t>Buddy visibility</t>
        </is>
      </c>
      <c r="C15" s="10" t="inlineStr">
        <is>
          <t>HM H-07 → NH P-00 rail</t>
        </is>
      </c>
      <c r="D15" s="10" t="inlineStr">
        <is>
          <t>Implements both rules with a switch: the new hire sees the buddy from assignment, or 72 hours before start. Flagged as a conflict on the handoff map and on the buddy screen.</t>
        </is>
      </c>
      <c r="E15" s="10" t="inlineStr">
        <is>
          <t>HM spec OI-22 (raised against this prototype) + PRD S2-US18 AC2</t>
        </is>
      </c>
      <c r="F15" s="10" t="inlineStr">
        <is>
          <t>The specification says the buddy contact card is visible to the new hire from 72 hours before the start date. The new hire prototype shows the buddy from the moment of assignment. Neither source says whether the buddy has accepted before their name is shown — which matters, because the manager can reassign up to Day −3.</t>
        </is>
      </c>
      <c r="G15" s="16" t="inlineStr">
        <is>
          <t>CONFLICT</t>
        </is>
      </c>
      <c r="H15" s="10" t="inlineStr">
        <is>
          <t>Pick a rule. Two sub-questions to settle with it: does the buddy accept before the new hire sees the name, and what happens on the screen if the manager reassigns after the new hire has already seen it?</t>
        </is>
      </c>
      <c r="I15" s="10" t="inlineStr">
        <is>
          <t>PEX / buddy programme</t>
        </is>
      </c>
      <c r="J15" s="16" t="inlineStr">
        <is>
          <t>1 — Blocks build</t>
        </is>
      </c>
      <c r="K15" s="20" t="inlineStr">
        <is>
          <t>ALREADY — both rules implemented with a switch. The underlying conflict is still unresolved.</t>
        </is>
      </c>
    </row>
    <row r="16">
      <c r="A16" s="12" t="inlineStr">
        <is>
          <t>G-12</t>
        </is>
      </c>
      <c r="B16" s="12" t="inlineStr">
        <is>
          <t>Suggested team network — platform</t>
        </is>
      </c>
      <c r="C16" s="12" t="inlineStr">
        <is>
          <t>HM H-11 → NH network</t>
        </is>
      </c>
      <c r="D16" s="12" t="inlineStr">
        <is>
          <t>Built as a net-new manager task: pick at least five people, write a reason for each, each is notified, the list and reasons reach the new hire with bookable 1:1 slots. Flagged as the only item that adds manager work.</t>
        </is>
      </c>
      <c r="E16" s="12" t="inlineStr">
        <is>
          <t>Onboarding Workday deck (native platform capability)</t>
        </is>
      </c>
      <c r="F16" s="12" t="inlineStr">
        <is>
          <t>Workday Onboarding already ships 'Select People to Meet for New Hire' and 'Select Helpful Contacts for New Hire' as administrator/manager setup, surfaced on the new hire's onboarding dashboard as 'People to Meet' and 'Helpful Contacts'.</t>
        </is>
      </c>
      <c r="G16" s="15" t="inlineStr">
        <is>
          <t>GAP OPEN</t>
        </is>
      </c>
      <c r="H16" s="12" t="inlineStr">
        <is>
          <t>This changes the argument materially. The question is no longer 'should we build a new task' but 'do we use the capability that already exists, and in which platform'. Re-cost M-10 before deciding whether it adds work at all.</t>
        </is>
      </c>
      <c r="I16" s="12" t="inlineStr">
        <is>
          <t>DIO / PEX</t>
        </is>
      </c>
      <c r="J16" s="15" t="inlineStr">
        <is>
          <t>2 — Build now</t>
        </is>
      </c>
      <c r="K16" s="25" t="inlineStr">
        <is>
          <t>PARTLY — the native-capability question is now on the screen itself (M-21). The build decision is still open.</t>
        </is>
      </c>
    </row>
    <row r="17">
      <c r="A17" s="10" t="inlineStr">
        <is>
          <t>G-13</t>
        </is>
      </c>
      <c r="B17" s="10" t="inlineStr">
        <is>
          <t>Welcome note — platform</t>
        </is>
      </c>
      <c r="C17" s="10" t="inlineStr">
        <is>
          <t>HM H-10 → NH P-00</t>
        </is>
      </c>
      <c r="D17" s="10" t="inlineStr">
        <is>
          <t>Built as a superset manager screen: pre-filled boilerplate, an editable personal line, and a read-only generated first-week block.</t>
        </is>
      </c>
      <c r="E17" s="10" t="inlineStr">
        <is>
          <t>Onboarding Workday deck (native platform capability)</t>
        </is>
      </c>
      <c r="F17" s="10" t="inlineStr">
        <is>
          <t>Workday Onboarding already ships 'Customize a Welcome Memo' for administrators and a 'From My Manager — Personalized Message' block on the new hire's dashboard.</t>
        </is>
      </c>
      <c r="G17" s="15" t="inlineStr">
        <is>
          <t>GAP OPEN</t>
        </is>
      </c>
      <c r="H17" s="10" t="inlineStr">
        <is>
          <t>Same question as G-12: use the native capability or build it. The generated first-week block is the part that is genuinely additive, because it is drawn from the new hire's real task list.</t>
        </is>
      </c>
      <c r="I17" s="10" t="inlineStr">
        <is>
          <t>DIO / PEX</t>
        </is>
      </c>
      <c r="J17" s="23" t="inlineStr">
        <is>
          <t>3 — Content</t>
        </is>
      </c>
      <c r="K17" s="25" t="inlineStr">
        <is>
          <t>PARTLY — the same note added to the welcome screen (M-21).</t>
        </is>
      </c>
    </row>
    <row r="18">
      <c r="A18" s="12" t="inlineStr">
        <is>
          <t>G-14</t>
        </is>
      </c>
      <c r="B18" s="12" t="inlineStr">
        <is>
          <t>Proxy and delegation</t>
        </is>
      </c>
      <c r="C18" s="12" t="inlineStr">
        <is>
          <t>HM H-03</t>
        </is>
      </c>
      <c r="D18" s="12" t="inlineStr">
        <is>
          <t>A Day 1 proxy is captured with the other logistics, applies to this hire only, and is marked as having undefined permissions.</t>
        </is>
      </c>
      <c r="E18" s="12" t="inlineStr">
        <is>
          <t>PRD v1.4 (Proxies) + HM spec OI-12</t>
        </is>
      </c>
      <c r="F18" s="12" t="inlineStr">
        <is>
          <t>Broader than the mockup: 'People Experience and Hiring Managers will need the ability to add a proxy to (1) take action on their behalf in the system and/or (2) enable visibility to new hire's status.' So proxy is a standing capability for two personas, not a Day 1 field for one.</t>
        </is>
      </c>
      <c r="G18" s="15" t="inlineStr">
        <is>
          <t>GAP OPEN</t>
        </is>
      </c>
      <c r="H18" s="12" t="inlineStr">
        <is>
          <t>Separate the two: a standing delegation capability for PEX and managers, and the narrower question of who meets the new hire on Day 1. The mockup currently conflates them.</t>
        </is>
      </c>
      <c r="I18" s="12" t="inlineStr">
        <is>
          <t>DIO</t>
        </is>
      </c>
      <c r="J18" s="15" t="inlineStr">
        <is>
          <t>2 — Build now</t>
        </is>
      </c>
      <c r="K18" s="20" t="inlineStr">
        <is>
          <t>YES — proxy reframed as a standing capability for managers and People Experience, not Day 1 cover. M-20 added.</t>
        </is>
      </c>
    </row>
    <row r="19">
      <c r="A19" s="10" t="inlineStr">
        <is>
          <t>G-15</t>
        </is>
      </c>
      <c r="B19" s="10" t="inlineStr">
        <is>
          <t>Buddy — definition and duration</t>
        </is>
      </c>
      <c r="C19" s="10" t="inlineStr">
        <is>
          <t>HM H-07, NH rail</t>
        </is>
      </c>
      <c r="D19" s="10" t="inlineStr">
        <is>
          <t>Describes the buddy as one person for culture and logistics, distinct from the network and the reporting line.</t>
        </is>
      </c>
      <c r="E19" s="10" t="inlineStr">
        <is>
          <t>Buddy Program deck</t>
        </is>
      </c>
      <c r="F19" s="10" t="inlineStr">
        <is>
          <t>'An onboarding buddy is an employee who partners with a new or transferring employee during their first 3+ months on the job. The buddy offers advice, resources, and guidance regarding the day-to-day aspects of working in their role... They may also offer encouragement and suggestions as they introduce the new employee to the culture.'</t>
        </is>
      </c>
      <c r="G19" s="13" t="inlineStr">
        <is>
          <t>ALIGNED</t>
        </is>
      </c>
      <c r="H19" s="10" t="inlineStr">
        <is>
          <t>Definition now sourced rather than assumed. One adjustment: the relationship runs 3+ months, so the portal should not frame the buddy as a Day 1 fixture. Also covers transferring employees, not only new hires.</t>
        </is>
      </c>
      <c r="I19" s="10" t="inlineStr">
        <is>
          <t>PEX</t>
        </is>
      </c>
      <c r="J19" s="23" t="inlineStr">
        <is>
          <t>3 — Content</t>
        </is>
      </c>
      <c r="K19" s="20" t="inlineStr">
        <is>
          <t>YES — the buddy is now described as covering the first three months and beyond.</t>
        </is>
      </c>
    </row>
    <row r="20">
      <c r="A20" s="12" t="inlineStr">
        <is>
          <t>G-16</t>
        </is>
      </c>
      <c r="B20" s="12" t="inlineStr">
        <is>
          <t>Equinix credentials</t>
        </is>
      </c>
      <c r="C20" s="12" t="inlineStr">
        <is>
          <t>NH P-00 Coming up; HM subtraction review</t>
        </is>
      </c>
      <c r="D20" s="12" t="inlineStr">
        <is>
          <t>Shows 'Collect your Equinix credentials' as a Day −1 Coming up card with its contents flagged as undocumented. The subtraction review claims the manager no longer hands over usernames and passwords.</t>
        </is>
      </c>
      <c r="E20" s="12" t="inlineStr">
        <is>
          <t>Future State Seq 1 + live UAT portal + Hiring Manager Checklist (2019)</t>
        </is>
      </c>
      <c r="F20" s="12" t="inlineStr">
        <is>
          <t>Three sources disagree. The future-state welcome email includes 'username, initial password/reset instructions'. The live portal has a separate new-hire task of the same name due one day before start. The current manager checklist still instructs managers to provide the username and the password.</t>
        </is>
      </c>
      <c r="G20" s="16" t="inlineStr">
        <is>
          <t>CONFLICT</t>
        </is>
      </c>
      <c r="H20" s="12" t="inlineStr">
        <is>
          <t>Establish what the credentials task actually contains before the 'two manager tasks eliminated' claim is used outside this workstream. It is the strongest subtraction claim on the manager side and it currently rests on three sources that do not agree.</t>
        </is>
      </c>
      <c r="I20" s="12" t="inlineStr">
        <is>
          <t>DIO / PEX</t>
        </is>
      </c>
      <c r="J20" s="15" t="inlineStr">
        <is>
          <t>2 — Build now</t>
        </is>
      </c>
      <c r="K20" s="20" t="inlineStr">
        <is>
          <t>YES — the three-way disagreement is now stated on the credentials card itself.</t>
        </is>
      </c>
    </row>
    <row r="21">
      <c r="A21" s="10" t="inlineStr">
        <is>
          <t>G-17</t>
        </is>
      </c>
      <c r="B21" s="10" t="inlineStr">
        <is>
          <t>Equipment — problem statement</t>
        </is>
      </c>
      <c r="C21" s="10" t="inlineStr">
        <is>
          <t>NH equipment, HM H-04</t>
        </is>
      </c>
      <c r="D21" s="10" t="inlineStr">
        <is>
          <t>Equipment is first in the list with the earliest due date, and both sides read one status table naming who each item waits on.</t>
        </is>
      </c>
      <c r="E21" s="10" t="inlineStr">
        <is>
          <t>Equipment provisioning deck (Fault line #4)</t>
        </is>
      </c>
      <c r="F21" s="10" t="inlineStr">
        <is>
          <t>'Day One Readiness: Inconsistent human connection experiences on Day 1, late or missing laptops, unconfigured devices, missing badges, limited live IT support and no swag — prevents new hires from being productive, creating a negative first impression.'</t>
        </is>
      </c>
      <c r="G21" s="13" t="inlineStr">
        <is>
          <t>ALIGNED</t>
        </is>
      </c>
      <c r="H21" s="10" t="inlineStr">
        <is>
          <t>None. The named fault line is direct support for equipment-first (A-33) and for the status table being more valuable than the picker.</t>
        </is>
      </c>
      <c r="I21" s="10" t="inlineStr">
        <is>
          <t>EUT</t>
        </is>
      </c>
      <c r="J21" s="21" t="inlineStr">
        <is>
          <t>4 — Monitor</t>
        </is>
      </c>
      <c r="K21" s="10" t="inlineStr">
        <is>
          <t>n/a — already aligned.</t>
        </is>
      </c>
    </row>
    <row r="22">
      <c r="A22" s="12" t="inlineStr">
        <is>
          <t>G-18</t>
        </is>
      </c>
      <c r="B22" s="12" t="inlineStr">
        <is>
          <t>Source integrity — sequence numbers</t>
        </is>
      </c>
      <c r="C22" s="12" t="inlineStr">
        <is>
          <t>All</t>
        </is>
      </c>
      <c r="D22" s="12" t="inlineStr">
        <is>
          <t>Cites task sequence numbers from the future-state workbook throughout the register.</t>
        </is>
      </c>
      <c r="E22" s="12" t="inlineStr">
        <is>
          <t>Future State workflow file; HM spec OI-14</t>
        </is>
      </c>
      <c r="F22" s="12" t="inlineStr">
        <is>
          <t>The master inventory holds 67 task rows while the three phase tabs hold 68 between them. The missing row is a manager task. Every sequence number from 34 onward therefore refers to a different task depending on which tab is read.</t>
        </is>
      </c>
      <c r="G22" s="15" t="inlineStr">
        <is>
          <t>GAP OPEN</t>
        </is>
      </c>
      <c r="H22" s="12" t="inlineStr">
        <is>
          <t>Correct the workbook before any sequence number is used as a build key. Until then, cross-references in this planner and in both UI specs are ambiguous above 34.</t>
        </is>
      </c>
      <c r="I22" s="12" t="inlineStr">
        <is>
          <t>Onboarding PM</t>
        </is>
      </c>
      <c r="J22" s="15" t="inlineStr">
        <is>
          <t>2 — Build now</t>
        </is>
      </c>
      <c r="K22" s="22" t="inlineStr">
        <is>
          <t>NO — a workbook correction, not a mockup change.</t>
        </is>
      </c>
    </row>
    <row r="23">
      <c r="A23" s="10" t="inlineStr">
        <is>
          <t>G-19</t>
        </is>
      </c>
      <c r="B23" s="10" t="inlineStr">
        <is>
          <t>Third persona — People Experience</t>
        </is>
      </c>
      <c r="C23" s="10" t="inlineStr">
        <is>
          <t>Not built</t>
        </is>
      </c>
      <c r="D23" s="10" t="inlineStr">
        <is>
          <t>Only two portals exist in the mockup. PEX appears throughout as an audience — dashboards, escalation target, contact card — but has no screens.</t>
        </is>
      </c>
      <c r="E23" s="10" t="inlineStr">
        <is>
          <t>Both UI specs (PEX named as audience); no PEX UI spec available in this session</t>
        </is>
      </c>
      <c r="F23" s="10" t="inlineStr">
        <is>
          <t>The new hire spec and manager spec both give PEX a dashboard view across all their new hires, an escalation destination, and proxy rights. No specification for those screens was available here.</t>
        </is>
      </c>
      <c r="G23" s="15" t="inlineStr">
        <is>
          <t>GAP OPEN</t>
        </is>
      </c>
      <c r="H23" s="10" t="inlineStr">
        <is>
          <t>Get the PEX UI spec, or confirm it does not exist yet. The manager's readiness view is close to what a PEX view needs, scoped across many hires instead of one — worth checking before it is designed twice.</t>
        </is>
      </c>
      <c r="I23" s="10" t="inlineStr">
        <is>
          <t>PEX</t>
        </is>
      </c>
      <c r="J23" s="15" t="inlineStr">
        <is>
          <t>2 — Build now</t>
        </is>
      </c>
      <c r="K23" s="22" t="inlineStr">
        <is>
          <t>NO — the third portal is not built. Out of scope for this pass.</t>
        </is>
      </c>
    </row>
    <row r="24">
      <c r="A24" s="12" t="inlineStr">
        <is>
          <t>G-20</t>
        </is>
      </c>
      <c r="B24" s="12" t="inlineStr">
        <is>
          <t>Swag and uniform</t>
        </is>
      </c>
      <c r="C24" s="12" t="inlineStr">
        <is>
          <t>Not built</t>
        </is>
      </c>
      <c r="D24" s="12" t="inlineStr">
        <is>
          <t>Named as a deliberate exclusion on the new hire side.</t>
        </is>
      </c>
      <c r="E24" s="12" t="inlineStr">
        <is>
          <t>Future State Seq 14 vs both UI specs</t>
        </is>
      </c>
      <c r="F24" s="12" t="inlineStr">
        <is>
          <t>The future-state workflow carries 'Submit uniform / swag preferences' as a conditional pre-Day 1 task for IBX and location-based roles. Both UI specs record swag as out of scope, and the new hire spec records it as out of scope even for Q4. The equipment deck names 'no swag' as part of the Day One Readiness fault line.</t>
        </is>
      </c>
      <c r="G24" s="16" t="inlineStr">
        <is>
          <t>CONFLICT</t>
        </is>
      </c>
      <c r="H24" s="12" t="inlineStr">
        <is>
          <t>Minor but real: one source has it as a pre-Day 1 task, two have it out of scope, and a fourth names its absence as a problem. Settle whether it is in the portal at all.</t>
        </is>
      </c>
      <c r="I24" s="12" t="inlineStr">
        <is>
          <t>CRE / IBX / PEX</t>
        </is>
      </c>
      <c r="J24" s="23" t="inlineStr">
        <is>
          <t>3 — Content</t>
        </is>
      </c>
      <c r="K24" s="22" t="inlineStr">
        <is>
          <t>NO — needs a decision on whether swag belongs in the portal at all.</t>
        </is>
      </c>
    </row>
    <row r="25">
      <c r="A25" s="10" t="inlineStr">
        <is>
          <t>G-21</t>
        </is>
      </c>
      <c r="B25" s="10" t="inlineStr">
        <is>
          <t>Confirm start date</t>
        </is>
      </c>
      <c r="C25" s="10" t="inlineStr">
        <is>
          <t>Not built</t>
        </is>
      </c>
      <c r="D25" s="10" t="inlineStr">
        <is>
          <t>The start date is displayed in the header and on the job description, but there is no task to confirm it or request a change.</t>
        </is>
      </c>
      <c r="E25" s="10" t="inlineStr">
        <is>
          <t>Future State Seq 4</t>
        </is>
      </c>
      <c r="F25" s="10" t="inlineStr">
        <is>
          <t>'Confirm start date' is a separate required pre-Day 1 new hire task: 'Confirm start date or submit change; portal updates dependent due dates and tasks.'</t>
        </is>
      </c>
      <c r="G25" s="15" t="inlineStr">
        <is>
          <t>GAP OPEN</t>
        </is>
      </c>
      <c r="H25" s="10" t="inlineStr">
        <is>
          <t>A required task is missing from the mockup. It also matters structurally, because every due date in the portal is an offset from the start date — a change has to cascade.</t>
        </is>
      </c>
      <c r="I25" s="10" t="inlineStr">
        <is>
          <t>PEX / HR Ops</t>
        </is>
      </c>
      <c r="J25" s="15" t="inlineStr">
        <is>
          <t>2 — Build now</t>
        </is>
      </c>
      <c r="K25" s="20" t="inlineStr">
        <is>
          <t>YES — built as a required task with a change-request path. A-49 and L-11 added.</t>
        </is>
      </c>
    </row>
    <row r="26">
      <c r="A26" s="12" t="inlineStr">
        <is>
          <t>G-22</t>
        </is>
      </c>
      <c r="B26" s="12" t="inlineStr">
        <is>
          <t>Background check</t>
        </is>
      </c>
      <c r="C26" s="12" t="inlineStr">
        <is>
          <t>NH P-00 other teams</t>
        </is>
      </c>
      <c r="D26" s="12" t="inlineStr">
        <is>
          <t>Shown as a status-only card under 'Handled by other teams' with no action.</t>
        </is>
      </c>
      <c r="E26" s="12" t="inlineStr">
        <is>
          <t>Future State Seq 3</t>
        </is>
      </c>
      <c r="F26" s="12" t="inlineStr">
        <is>
          <t>'Launch First Advantage / background check from portal; show status and clear notification when available.' It is a required new hire task with an action, not only a status.</t>
        </is>
      </c>
      <c r="G26" s="15" t="inlineStr">
        <is>
          <t>GAP OPEN</t>
        </is>
      </c>
      <c r="H26" s="12" t="inlineStr">
        <is>
          <t>The mockup understates this. Either the new hire launches it from the portal, in which case it belongs in Do these now, or it is genuinely passive — the source says the former.</t>
        </is>
      </c>
      <c r="I26" s="12" t="inlineStr">
        <is>
          <t>Background check / PEX</t>
        </is>
      </c>
      <c r="J26" s="15" t="inlineStr">
        <is>
          <t>2 — Build now</t>
        </is>
      </c>
      <c r="K26" s="20" t="inlineStr">
        <is>
          <t>YES — built as a launchable task; the old passive card is gone. A-50 added.</t>
        </is>
      </c>
    </row>
    <row r="27">
      <c r="A27" s="10" t="inlineStr">
        <is>
          <t>G-23</t>
        </is>
      </c>
      <c r="B27" s="10" t="inlineStr">
        <is>
          <t>Day 1 information</t>
        </is>
      </c>
      <c r="C27" s="10" t="inlineStr">
        <is>
          <t>NH P-00 Coming up; HM H-03</t>
        </is>
      </c>
      <c r="D27" s="10" t="inlineStr">
        <is>
          <t>First-day details open three days before the start date and carry what the manager confirmed.</t>
        </is>
      </c>
      <c r="E27" s="10" t="inlineStr">
        <is>
          <t>Future State Seq 16 + PRD S3-US07</t>
        </is>
      </c>
      <c r="F27" s="10" t="inlineStr">
        <is>
          <t>Day 1 information is sent three business days before the start date, auto-pulling office, parking, map, who to ask for, what to expect and dress code from the assigned blueprint.</t>
        </is>
      </c>
      <c r="G27" s="13" t="inlineStr">
        <is>
          <t>ALIGNED</t>
        </is>
      </c>
      <c r="H27" s="10" t="inlineStr">
        <is>
          <t>None. The one open piece is whether a manager can override blueprint values — see the Portal Map note on H-03.</t>
        </is>
      </c>
      <c r="I27" s="10" t="inlineStr">
        <is>
          <t>PEX / CRE</t>
        </is>
      </c>
      <c r="J27" s="21" t="inlineStr">
        <is>
          <t>4 — Monitor</t>
        </is>
      </c>
      <c r="K27" s="10" t="inlineStr">
        <is>
          <t>n/a — already aligned.</t>
        </is>
      </c>
    </row>
    <row r="28">
      <c r="A28" s="12" t="inlineStr">
        <is>
          <t>G-24</t>
        </is>
      </c>
      <c r="B28" s="12" t="inlineStr">
        <is>
          <t>US state handbook addenda</t>
        </is>
      </c>
      <c r="C28" s="12" t="inlineStr">
        <is>
          <t>NH P-05</t>
        </is>
      </c>
      <c r="D28" s="12" t="inlineStr">
        <is>
          <t>Not represented — the mockup shows one country handbook as reference material.</t>
        </is>
      </c>
      <c r="E28" s="12" t="inlineStr">
        <is>
          <t>CR PC Onboarding Workflow Documents</t>
        </is>
      </c>
      <c r="F28" s="12" t="inlineStr">
        <is>
          <t>Every US hire receives all 25 state handbook addenda in one bundle, regardless of which state they work in. Separate state-conditional rows exist for California, New Jersey, Texas, Massachusetts and New York, so conditionality is possible in the same process.</t>
        </is>
      </c>
      <c r="G28" s="15" t="inlineStr">
        <is>
          <t>GAP OPEN</t>
        </is>
      </c>
      <c r="H28" s="12" t="inlineStr">
        <is>
          <t>A Colorado hire currently receives 24 addenda that do not apply to them. This is the clearest single example of the commonality workbook's case, and the cheapest visible win in the pack.</t>
        </is>
      </c>
      <c r="I28" s="12" t="inlineStr">
        <is>
          <t>Legal / HR Ops</t>
        </is>
      </c>
      <c r="J28" s="15" t="inlineStr">
        <is>
          <t>2 — Build now</t>
        </is>
      </c>
      <c r="K28" s="20" t="inlineStr">
        <is>
          <t>YES — the 25 state addenda are named on screen, with the point that 24 of them do not apply.</t>
        </is>
      </c>
    </row>
    <row r="29">
      <c r="A29" s="10" t="inlineStr">
        <is>
          <t>G-25</t>
        </is>
      </c>
      <c r="B29" s="10" t="inlineStr">
        <is>
          <t>Country volume outlier</t>
        </is>
      </c>
      <c r="C29" s="10" t="inlineStr">
        <is>
          <t>NH P-05</t>
        </is>
      </c>
      <c r="D29" s="10" t="inlineStr">
        <is>
          <t>Uses the United States as the worked example and Japan as the country variant.</t>
        </is>
      </c>
      <c r="E29" s="10" t="inlineStr">
        <is>
          <t>CR PC Onboarding Workflow Documents</t>
        </is>
      </c>
      <c r="F29" s="10" t="inlineStr">
        <is>
          <t>Poland receives the largest document set at ~57 instances, ahead of the United States (~36), Brazil (~28) and Japan (~19). Poland also carries occupational-risk conditionals by job profile and separate work-from-home appendices.</t>
        </is>
      </c>
      <c r="G29" s="15" t="inlineStr">
        <is>
          <t>GAP OPEN</t>
        </is>
      </c>
      <c r="H29" s="10" t="inlineStr">
        <is>
          <t>If the portal renders a per-country list, Poland is the stress test, not the United States. Worth drawing before build, because a 57-item list is a different screen from a 6-item one.</t>
        </is>
      </c>
      <c r="I29" s="10" t="inlineStr">
        <is>
          <t>Legal / PEX</t>
        </is>
      </c>
      <c r="J29" s="23" t="inlineStr">
        <is>
          <t>3 — Content</t>
        </is>
      </c>
      <c r="K29" s="22" t="inlineStr">
        <is>
          <t>NO — Poland is not a country option in the mockup. The whole-process figure is shown instead.</t>
        </is>
      </c>
    </row>
    <row r="31">
      <c r="A31" s="17" t="inlineStr">
        <is>
          <t>COUNTS</t>
        </is>
      </c>
    </row>
    <row r="32">
      <c r="A32" s="18" t="inlineStr">
        <is>
          <t>Findings</t>
        </is>
      </c>
      <c r="B32" s="19">
        <f>COUNTA(A5:A29)</f>
        <v/>
      </c>
    </row>
    <row r="33">
      <c r="A33" s="18" t="inlineStr">
        <is>
          <t>Blocks build (P1)</t>
        </is>
      </c>
      <c r="B33" s="19">
        <f>COUNTIF(J5:J29,"1*")</f>
        <v/>
      </c>
    </row>
    <row r="34">
      <c r="A34" s="18" t="inlineStr">
        <is>
          <t>Build now (P2)</t>
        </is>
      </c>
      <c r="B34" s="19">
        <f>COUNTIF(J5:J29,"2*")</f>
        <v/>
      </c>
    </row>
    <row r="35">
      <c r="A35" s="18" t="inlineStr">
        <is>
          <t>Conflicts between sources</t>
        </is>
      </c>
      <c r="B35" s="19">
        <f>COUNTIF(G5:G29,"CONFLICT")</f>
        <v/>
      </c>
    </row>
    <row r="36">
      <c r="A36" s="18" t="inlineStr">
        <is>
          <t>Answered by these documents</t>
        </is>
      </c>
      <c r="B36" s="19">
        <f>COUNTIF(G5:G29,"GAP CLOSED")+COUNTIF(G5:G29,"SUPERSEDED")+COUNTIF(G5:G29,"NEW REQUIREMENT")</f>
        <v/>
      </c>
    </row>
    <row r="37">
      <c r="A37" s="18" t="inlineStr">
        <is>
          <t>Still open</t>
        </is>
      </c>
      <c r="B37" s="19">
        <f>COUNTIF(G5:G29,"GAP OPEN")</f>
        <v/>
      </c>
    </row>
    <row r="38">
      <c r="A38" s="18" t="inlineStr">
        <is>
          <t>Aligned</t>
        </is>
      </c>
      <c r="B38" s="19">
        <f>COUNTIF(G5:G29,"ALIGNED")</f>
        <v/>
      </c>
    </row>
    <row r="39">
      <c r="A39" s="18" t="inlineStr">
        <is>
          <t>Closed in the mockup</t>
        </is>
      </c>
      <c r="B39" s="19">
        <f>COUNTIF(K5:K29,"YES*")+COUNTIF(K5:K29,"ALREADY*")</f>
        <v/>
      </c>
    </row>
    <row r="40">
      <c r="A40" s="18" t="inlineStr">
        <is>
          <t>Partly closed</t>
        </is>
      </c>
      <c r="B40" s="19">
        <f>COUNTIF(K5:K29,"PARTLY*")</f>
        <v/>
      </c>
    </row>
    <row r="41">
      <c r="A41" s="18" t="inlineStr">
        <is>
          <t>Not a mockup change</t>
        </is>
      </c>
      <c r="B41" s="19">
        <f>COUNTIF(K5:K29,"NO*")</f>
        <v/>
      </c>
    </row>
  </sheetData>
  <autoFilter ref="A4:K29"/>
  <mergeCells count="1">
    <mergeCell ref="A2:H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54" customWidth="1" min="2" max="2"/>
    <col width="30" customWidth="1" min="3" max="3"/>
    <col width="16" customWidth="1" min="4" max="4"/>
    <col width="16" customWidth="1" min="5" max="5"/>
    <col width="52" customWidth="1" min="6" max="6"/>
    <col width="38" customWidth="1" min="7" max="7"/>
    <col width="58" customWidth="1" min="8" max="8"/>
  </cols>
  <sheetData>
    <row r="1">
      <c r="A1" s="7" t="inlineStr">
        <is>
          <t>Pre-Day 1 Documents — what we ask every new hire to read and sign today</t>
        </is>
      </c>
    </row>
    <row r="2" ht="30" customHeight="1">
      <c r="A2" s="8" t="inlineStr">
        <is>
          <t>Left of the line is the live Workday business process; right of it is the intended future treatment from the commonality analysis, and what the mockup currently shows. Totals across the whole process: 146 rows, 416 document instances, 357 unique titles. The six global-core documents in the mockup are the intended future core — not what a new hire receives today.</t>
        </is>
      </c>
    </row>
    <row r="4" ht="30" customHeight="1">
      <c r="A4" s="9" t="inlineStr">
        <is>
          <t>Document family</t>
        </is>
      </c>
      <c r="B4" s="9" t="inlineStr">
        <is>
          <t>Document(s) served today</t>
        </is>
      </c>
      <c r="C4" s="9" t="inlineStr">
        <is>
          <t>Who receives it</t>
        </is>
      </c>
      <c r="D4" s="9" t="inlineStr">
        <is>
          <t>Instances in the Workday process</t>
        </is>
      </c>
      <c r="E4" s="9" t="inlineStr">
        <is>
          <t>Acknowledged today?</t>
        </is>
      </c>
      <c r="F4" s="9" t="inlineStr">
        <is>
          <t>Intended future treatment</t>
        </is>
      </c>
      <c r="G4" s="9" t="inlineStr">
        <is>
          <t>In the v3 mockup?</t>
        </is>
      </c>
      <c r="H4" s="9" t="inlineStr">
        <is>
          <t>Gap / action</t>
        </is>
      </c>
    </row>
    <row r="5">
      <c r="A5" s="10" t="inlineStr">
        <is>
          <t>1.1 Code of Business Conduct</t>
        </is>
      </c>
      <c r="B5" s="10" t="inlineStr">
        <is>
          <t>Code of Business Conduct (Dec 2024) + translations</t>
        </is>
      </c>
      <c r="C5" s="10" t="inlineStr">
        <is>
          <t>Global core — all countries except BR, CA, DE, CL, PR, JP</t>
        </is>
      </c>
      <c r="D5" s="10" t="inlineStr">
        <is>
          <t>2 (global rows)</t>
        </is>
      </c>
      <c r="E5" s="10" t="inlineStr">
        <is>
          <t>Yes</t>
        </is>
      </c>
      <c r="F5" s="10" t="inlineStr">
        <is>
          <t>Global source with translations only. Avoid country copies unless Legal directs.</t>
        </is>
      </c>
      <c r="G5" s="13" t="inlineStr">
        <is>
          <t>Yes — external-site treatment with return path</t>
        </is>
      </c>
      <c r="H5" s="10" t="inlineStr">
        <is>
          <t>Settle whether it is linked from MyHR or copied into the portal (see G-04).</t>
        </is>
      </c>
    </row>
    <row r="6">
      <c r="A6" s="12" t="inlineStr">
        <is>
          <t>1.2 Acceptable Use Policy</t>
        </is>
      </c>
      <c r="B6" s="12" t="inlineStr">
        <is>
          <t>Global Acceptance Use Policy</t>
        </is>
      </c>
      <c r="C6" s="12" t="inlineStr">
        <is>
          <t>Global core, all countries</t>
        </is>
      </c>
      <c r="D6" s="12" t="inlineStr">
        <is>
          <t>2 (global rows)</t>
        </is>
      </c>
      <c r="E6" s="12" t="inlineStr">
        <is>
          <t>Yes</t>
        </is>
      </c>
      <c r="F6" s="12" t="inlineStr">
        <is>
          <t>One global acknowledgement plus a country addendum when the rule triggers. Japan, Korea and France are addendum candidates.</t>
        </is>
      </c>
      <c r="G6" s="13" t="inlineStr">
        <is>
          <t>Yes — with the Japan addendum nested inside the policy</t>
        </is>
      </c>
      <c r="H6" s="12" t="inlineStr">
        <is>
          <t>Addendum trigger table still pending legal review, so the content is illustrative.</t>
        </is>
      </c>
    </row>
    <row r="7">
      <c r="A7" s="10" t="inlineStr">
        <is>
          <t>1.2 › Information Governance</t>
        </is>
      </c>
      <c r="B7" s="10" t="inlineStr">
        <is>
          <t>Information Governance Approach</t>
        </is>
      </c>
      <c r="C7" s="10" t="inlineStr">
        <is>
          <t>Global core, all countries</t>
        </is>
      </c>
      <c r="D7" s="10" t="inlineStr">
        <is>
          <t>2 (global rows)</t>
        </is>
      </c>
      <c r="E7" s="10" t="inlineStr">
        <is>
          <t>Yes — but at Week 1</t>
        </is>
      </c>
      <c r="F7" s="10" t="inlineStr">
        <is>
          <t>Single universal task plus translated content. No country logic. Placed at Week 1.</t>
        </is>
      </c>
      <c r="G7" s="14" t="inlineStr">
        <is>
          <t>Shown under Coming up as a first-week item</t>
        </is>
      </c>
      <c r="H7" s="10" t="inlineStr">
        <is>
          <t>The only compliance artifact placed at Week 1 with no rationale recorded. Confirm or move.</t>
        </is>
      </c>
    </row>
    <row r="8">
      <c r="A8" s="12" t="inlineStr">
        <is>
          <t>1.3 Whistleblower Protection</t>
        </is>
      </c>
      <c r="B8" s="12" t="inlineStr">
        <is>
          <t>Whistleblower Protection Policy (2019 global)</t>
        </is>
      </c>
      <c r="C8" s="12" t="inlineStr">
        <is>
          <t>Global core, all countries</t>
        </is>
      </c>
      <c r="D8" s="12" t="inlineStr">
        <is>
          <t>2 (global rows)</t>
        </is>
      </c>
      <c r="E8" s="12" t="inlineStr">
        <is>
          <t>Yes</t>
        </is>
      </c>
      <c r="F8" s="12" t="inlineStr">
        <is>
          <t>Universal task plus translations. Retire older documents.</t>
        </is>
      </c>
      <c r="G8" s="13" t="inlineStr">
        <is>
          <t>Yes — inline with scroll gate</t>
        </is>
      </c>
      <c r="H8" s="12" t="inlineStr">
        <is>
          <t>None.</t>
        </is>
      </c>
    </row>
    <row r="9">
      <c r="A9" s="10" t="inlineStr">
        <is>
          <t>1.4 Securities Trading Policy</t>
        </is>
      </c>
      <c r="B9" s="10" t="inlineStr">
        <is>
          <t>Securities Trading Policy — Insider Trading Policy (Global 2019)</t>
        </is>
      </c>
      <c r="C9" s="10" t="inlineStr">
        <is>
          <t>Global core, all countries</t>
        </is>
      </c>
      <c r="D9" s="10" t="inlineStr">
        <is>
          <t>2 (global rows)</t>
        </is>
      </c>
      <c r="E9" s="10" t="inlineStr">
        <is>
          <t>Blank in the source</t>
        </is>
      </c>
      <c r="F9" s="10" t="inlineStr">
        <is>
          <t>Universal task plus translations.</t>
        </is>
      </c>
      <c r="G9" s="13" t="inlineStr">
        <is>
          <t>Yes — assumed to require acknowledgement (A-19)</t>
        </is>
      </c>
      <c r="H9" s="10" t="inlineStr">
        <is>
          <t>Acknowledgement requirement is blank in the commonality workbook. Legal to confirm.</t>
        </is>
      </c>
    </row>
    <row r="10">
      <c r="A10" s="12" t="inlineStr">
        <is>
          <t>2.1 Employee Data Privacy Notice</t>
        </is>
      </c>
      <c r="B10" s="12" t="inlineStr">
        <is>
          <t>Equinix Global Employee Data Privacy Notice (FINAL July 2026) — 20 language PDFs supplied</t>
        </is>
      </c>
      <c r="C10" s="12" t="inlineStr">
        <is>
          <t>All new hires; country addendum where required</t>
        </is>
      </c>
      <c r="D10" s="12" t="inlineStr">
        <is>
          <t>Supplied as a separate pack</t>
        </is>
      </c>
      <c r="E10" s="12" t="inlineStr">
        <is>
          <t>Yes</t>
        </is>
      </c>
      <c r="F10" s="12" t="inlineStr">
        <is>
          <t>One global notice, auto-displayed in the local language where a translation is required, English otherwise, plus a country addendum library.</t>
        </is>
      </c>
      <c r="G10" s="13" t="inlineStr">
        <is>
          <t>Yes — served in the language required for the country of hire</t>
        </is>
      </c>
      <c r="H10" s="12" t="inlineStr">
        <is>
          <t>CLOSED in the mockup. Language is now derived from country and stated on screen; the preference field covers communications only.</t>
        </is>
      </c>
    </row>
    <row r="11">
      <c r="A11" s="10" t="inlineStr">
        <is>
          <t>2.2 Self-Identification Privacy Notice</t>
        </is>
      </c>
      <c r="B11" s="10" t="inlineStr">
        <is>
          <t>Self-ID DPN Addendum</t>
        </is>
      </c>
      <c r="C11" s="10" t="inlineStr">
        <is>
          <t>All new hires</t>
        </is>
      </c>
      <c r="D11" s="10" t="inlineStr">
        <is>
          <t>—</t>
        </is>
      </c>
      <c r="E11" s="10" t="inlineStr">
        <is>
          <t>Yes</t>
        </is>
      </c>
      <c r="F11" s="10" t="inlineStr">
        <is>
          <t>One artifact with translated content only.</t>
        </is>
      </c>
      <c r="G11" s="13" t="inlineStr">
        <is>
          <t>Yes — paired with the self-ID block on Tab 3</t>
        </is>
      </c>
      <c r="H11" s="10" t="inlineStr">
        <is>
          <t>Categories in the self-ID block remain country-specific and undefined (A-07).</t>
        </is>
      </c>
    </row>
    <row r="12">
      <c r="A12" s="12" t="inlineStr">
        <is>
          <t>8.1 Company Factsheet</t>
        </is>
      </c>
      <c r="B12" s="12" t="inlineStr">
        <is>
          <t>Equinix Company Factsheet 2026</t>
        </is>
      </c>
      <c r="C12" s="12" t="inlineStr">
        <is>
          <t>Global core, all countries</t>
        </is>
      </c>
      <c r="D12" s="12" t="inlineStr">
        <is>
          <t>2 (global rows)</t>
        </is>
      </c>
      <c r="E12" s="12" t="inlineStr">
        <is>
          <t>No</t>
        </is>
      </c>
      <c r="F12" s="12" t="inlineStr">
        <is>
          <t>Single global content object, no translation — it is not a compliance document.</t>
        </is>
      </c>
      <c r="G12" s="13" t="inlineStr">
        <is>
          <t>Yes — grouped as reading material, no acknowledgement</t>
        </is>
      </c>
      <c r="H12" s="12" t="inlineStr">
        <is>
          <t>Open question in the workbook itself: is it needed pre-boarding or better on Day 1?</t>
        </is>
      </c>
    </row>
    <row r="13">
      <c r="A13" s="10" t="inlineStr">
        <is>
          <t>4.1 Country Employee Handbook</t>
        </is>
      </c>
      <c r="B13" s="10" t="inlineStr">
        <is>
          <t>US Employee Handbook (Nov 2024) + 25 state addenda; APAC 2022 template; EMEA 2018 base + country supplements</t>
        </is>
      </c>
      <c r="C13" s="10" t="inlineStr">
        <is>
          <t>Country-conditional; the US bundle goes to every US hire</t>
        </is>
      </c>
      <c r="D13" s="10" t="inlineStr">
        <is>
          <t>28 in the US bundle alone</t>
        </is>
      </c>
      <c r="E13" s="10" t="inlineStr">
        <is>
          <t>No — reference</t>
        </is>
      </c>
      <c r="F13" s="10" t="inlineStr">
        <is>
          <t>Country-appropriate handbook as reference. Key policies acknowledged separately as universal tasks.</t>
        </is>
      </c>
      <c r="G13" s="13" t="inlineStr">
        <is>
          <t>Yes — with its real size and the problem named</t>
        </is>
      </c>
      <c r="H13" s="10" t="inlineStr">
        <is>
          <t>The mockup now shows the full 28-document bundle and flags that 24 of the 25 state addenda do not apply. The decision on what survives is still open (G-01).</t>
        </is>
      </c>
    </row>
    <row r="14">
      <c r="A14" s="12" t="inlineStr">
        <is>
          <t>4.2 Employment Rules (Japan)</t>
        </is>
      </c>
      <c r="B14" s="12" t="inlineStr">
        <is>
          <t>就業規則 (Japanese employment regulations), 2025-04-01</t>
        </is>
      </c>
      <c r="C14" s="12" t="inlineStr">
        <is>
          <t>Japan</t>
        </is>
      </c>
      <c r="D14" s="12" t="inlineStr">
        <is>
          <t>19 across three Japan rows</t>
        </is>
      </c>
      <c r="E14" s="12" t="inlineStr">
        <is>
          <t>Yes</t>
        </is>
      </c>
      <c r="F14" s="12" t="inlineStr">
        <is>
          <t>Country-specific legal format — a genuine outlier from the handbook model.</t>
        </is>
      </c>
      <c r="G14" s="16" t="inlineStr">
        <is>
          <t>Not represented; Japan appears only as an AUP addendum</t>
        </is>
      </c>
      <c r="H14" s="12" t="inlineStr">
        <is>
          <t>Japan needs its own treatment, not an addendum. Flagged as a format outlier in the workbook.</t>
        </is>
      </c>
    </row>
    <row r="15">
      <c r="A15" s="10" t="inlineStr">
        <is>
          <t>5.1 Benefits Enrollment</t>
        </is>
      </c>
      <c r="B15" s="10" t="inlineStr">
        <is>
          <t>2026 Equinix U.S. Benefits Booklet; country plan documents</t>
        </is>
      </c>
      <c r="C15" s="10" t="inlineStr">
        <is>
          <t>Country and platform conditional</t>
        </is>
      </c>
      <c r="D15" s="10" t="inlineStr">
        <is>
          <t>Bundled into country packs</t>
        </is>
      </c>
      <c r="E15" s="10" t="inlineStr">
        <is>
          <t>Varies</t>
        </is>
      </c>
      <c r="F15" s="10" t="inlineStr">
        <is>
          <t>Conditional routing until a global benefits platform exists. Darwin and Benefax both remain until at least 2028.</t>
        </is>
      </c>
      <c r="G15" s="14" t="inlineStr">
        <is>
          <t>Shown under Coming up, opens 30 days before start</t>
        </is>
      </c>
      <c r="H15" s="10" t="inlineStr">
        <is>
          <t>CLOSED in the mockup — the card now says it waits on the employee number, not only on a date.</t>
        </is>
      </c>
    </row>
    <row r="16">
      <c r="A16" s="12" t="inlineStr">
        <is>
          <t>6.1 Tax Withholding</t>
        </is>
      </c>
      <c r="B16" s="12" t="inlineStr">
        <is>
          <t>W-4 (US), TD1 (CA), local declarations</t>
        </is>
      </c>
      <c r="C16" s="12" t="inlineStr">
        <is>
          <t>Country-specific regulatory</t>
        </is>
      </c>
      <c r="D16" s="12" t="inlineStr">
        <is>
          <t>Within country packs</t>
        </is>
      </c>
      <c r="E16" s="12" t="inlineStr">
        <is>
          <t>Yes where required</t>
        </is>
      </c>
      <c r="F16" s="12" t="inlineStr">
        <is>
          <t>Country-specific; no global core component to merge into.</t>
        </is>
      </c>
      <c r="G16" s="16" t="inlineStr">
        <is>
          <t>No — named as a deliberate exclusion</t>
        </is>
      </c>
      <c r="H16" s="12" t="inlineStr">
        <is>
          <t>Confirmed out of scope. Payroll owns it.</t>
        </is>
      </c>
    </row>
    <row r="17">
      <c r="A17" s="10" t="inlineStr">
        <is>
          <t>3.3 Bank / Payment Details</t>
        </is>
      </c>
      <c r="B17" s="10" t="inlineStr">
        <is>
          <t>Direct deposit / payment authorisation</t>
        </is>
      </c>
      <c r="C17" s="10" t="inlineStr">
        <is>
          <t>Country-specific banking</t>
        </is>
      </c>
      <c r="D17" s="10" t="inlineStr">
        <is>
          <t>Within country packs</t>
        </is>
      </c>
      <c r="E17" s="10" t="inlineStr">
        <is>
          <t>Yes</t>
        </is>
      </c>
      <c r="F17" s="10" t="inlineStr">
        <is>
          <t>Country-specific class of its own; owned by Payroll.</t>
        </is>
      </c>
      <c r="G17" s="16" t="inlineStr">
        <is>
          <t>No — shown as a locked boundary card on Tab 3 and the task list</t>
        </is>
      </c>
      <c r="H17" s="10" t="inlineStr">
        <is>
          <t>Confirmed deliberate exclusion. Timing still disputed across three sources (A-11).</t>
        </is>
      </c>
    </row>
    <row r="18">
      <c r="A18" s="12" t="inlineStr">
        <is>
          <t>7.1 Right to Work</t>
        </is>
      </c>
      <c r="B18" s="12" t="inlineStr">
        <is>
          <t>I-9 (US), country right-to-work checks, medical checks where required</t>
        </is>
      </c>
      <c r="C18" s="12" t="inlineStr">
        <is>
          <t>Country-specific regulatory</t>
        </is>
      </c>
      <c r="D18" s="12" t="inlineStr">
        <is>
          <t>Within country packs</t>
        </is>
      </c>
      <c r="E18" s="12" t="inlineStr">
        <is>
          <t>Yes where required</t>
        </is>
      </c>
      <c r="F18" s="12" t="inlineStr">
        <is>
          <t>Do not globalise content; globalise framework and timing only.</t>
        </is>
      </c>
      <c r="G18" s="14" t="inlineStr">
        <is>
          <t>Shown as available now, completed in its own system; medical check for Japan</t>
        </is>
      </c>
      <c r="H18" s="12" t="inlineStr">
        <is>
          <t>Identity capture on Tab 1 overlaps this — decide capture-once or not (G-08).</t>
        </is>
      </c>
    </row>
    <row r="19">
      <c r="A19" s="10" t="inlineStr">
        <is>
          <t>7.2 Employment Agreement</t>
        </is>
      </c>
      <c r="B19" s="10" t="inlineStr">
        <is>
          <t>Offer letter / employment contract; country contracts</t>
        </is>
      </c>
      <c r="C19" s="10" t="inlineStr">
        <is>
          <t>Country-specific legal</t>
        </is>
      </c>
      <c r="D19" s="10" t="inlineStr">
        <is>
          <t>Within country packs</t>
        </is>
      </c>
      <c r="E19" s="10" t="inlineStr">
        <is>
          <t>Yes</t>
        </is>
      </c>
      <c r="F19" s="10" t="inlineStr">
        <is>
          <t>Signed in Stage 1 before this portal exists for the new hire.</t>
        </is>
      </c>
      <c r="G19" s="13" t="inlineStr">
        <is>
          <t>Referenced read-only on the job description page; never re-signed</t>
        </is>
      </c>
      <c r="H19" s="10" t="inlineStr">
        <is>
          <t>Correct — re-signing would be a duplicate legal act.</t>
        </is>
      </c>
    </row>
    <row r="20">
      <c r="A20" s="12" t="inlineStr">
        <is>
          <t>Local — Brazil</t>
        </is>
      </c>
      <c r="B20" s="12" t="inlineStr">
        <is>
          <t>Código de Conduta, Política Negociação de Títulos, Vale Transporte, Contribuição Sindical, dental and pharmacy forms and others</t>
        </is>
      </c>
      <c r="C20" s="12" t="inlineStr">
        <is>
          <t>Brazil</t>
        </is>
      </c>
      <c r="D20" s="12" t="inlineStr">
        <is>
          <t>~28</t>
        </is>
      </c>
      <c r="E20" s="12" t="inlineStr">
        <is>
          <t>Mixed</t>
        </is>
      </c>
      <c r="F20" s="12" t="inlineStr">
        <is>
          <t>Not yet analysed in the commonality workbook beyond the handbook row.</t>
        </is>
      </c>
      <c r="G20" s="16" t="inlineStr">
        <is>
          <t>No</t>
        </is>
      </c>
      <c r="H20" s="12" t="inlineStr">
        <is>
          <t>Second largest country pack. Needs its own analysis pass.</t>
        </is>
      </c>
    </row>
    <row r="21">
      <c r="A21" s="10" t="inlineStr">
        <is>
          <t>Local — Poland</t>
        </is>
      </c>
      <c r="B21" s="10" t="inlineStr">
        <is>
          <t>Occupational-risk documents by job profile, WFH appendices 1 and 4, and a 20-document and 21-document bundle</t>
        </is>
      </c>
      <c r="C21" s="10" t="inlineStr">
        <is>
          <t>Poland, with job-profile and work-arrangement conditionals</t>
        </is>
      </c>
      <c r="D21" s="10" t="inlineStr">
        <is>
          <t>~57</t>
        </is>
      </c>
      <c r="E21" s="10" t="inlineStr">
        <is>
          <t>Mixed</t>
        </is>
      </c>
      <c r="F21" s="10" t="inlineStr">
        <is>
          <t>Not yet analysed.</t>
        </is>
      </c>
      <c r="G21" s="16" t="inlineStr">
        <is>
          <t>No</t>
        </is>
      </c>
      <c r="H21" s="10" t="inlineStr">
        <is>
          <t>LARGEST pack. If the portal renders per-country lists, Poland is the stress test (G-25).</t>
        </is>
      </c>
    </row>
    <row r="22">
      <c r="A22" s="12" t="inlineStr">
        <is>
          <t>Local — Corporate card</t>
        </is>
      </c>
      <c r="B22" s="12" t="inlineStr">
        <is>
          <t>Credit Card Employee User Agreement for Company Pay</t>
        </is>
      </c>
      <c r="C22" s="12" t="inlineStr">
        <is>
          <t>Employees who will travel on behalf of Equinix; contingent workers out of scope</t>
        </is>
      </c>
      <c r="D22" s="12" t="inlineStr">
        <is>
          <t>New in PRD v1.4</t>
        </is>
      </c>
      <c r="E22" s="12" t="inlineStr">
        <is>
          <t>Yes — e-signature</t>
        </is>
      </c>
      <c r="F22" s="12" t="inlineStr">
        <is>
          <t>Manager yes/no pre-start; new hire PDF review plus e-signature on Day 2; weekly extract to Accounts Payable, then Citi issues the application link.</t>
        </is>
      </c>
      <c r="G22" s="13" t="inlineStr">
        <is>
          <t>Yes — built on both sides</t>
        </is>
      </c>
      <c r="H22" s="12" t="inlineStr">
        <is>
          <t>CLOSED. Manager yes/no framed around travel; the new hire sees a Day 2 item only when the answer is yes. Open: the task's final name, and whether cost centre and approver are captured.</t>
        </is>
      </c>
    </row>
    <row r="24">
      <c r="A24" s="5" t="inlineStr">
        <is>
          <t>SCALE OF THE CURRENT STATE</t>
        </is>
      </c>
      <c r="B24" s="6" t="inlineStr"/>
    </row>
    <row r="25">
      <c r="A25" s="3" t="inlineStr">
        <is>
          <t>Document instances served</t>
        </is>
      </c>
      <c r="B25" s="4" t="inlineStr">
        <is>
          <t>416 across 146 business-process rows</t>
        </is>
      </c>
    </row>
    <row r="26">
      <c r="A26" s="3" t="inlineStr">
        <is>
          <t>Unique document titles</t>
        </is>
      </c>
      <c r="B26" s="4" t="inlineStr">
        <is>
          <t>357</t>
        </is>
      </c>
    </row>
    <row r="27">
      <c r="A27" s="3" t="inlineStr">
        <is>
          <t>Global core (all countries)</t>
        </is>
      </c>
      <c r="B27" s="4" t="inlineStr">
        <is>
          <t>6 — Code of Business Conduct, Company Factsheet, Acceptable Use Policy, Information Governance, Securities Trading, Whistleblower</t>
        </is>
      </c>
    </row>
    <row r="28">
      <c r="A28" s="3" t="inlineStr">
        <is>
          <t>Largest country pack</t>
        </is>
      </c>
      <c r="B28" s="4" t="inlineStr">
        <is>
          <t>Poland, ~57 instances — ahead of USA ~36, Brazil ~28, Japan ~19</t>
        </is>
      </c>
    </row>
    <row r="29">
      <c r="A29" s="3" t="inlineStr">
        <is>
          <t>US handbook bundle</t>
        </is>
      </c>
      <c r="B29" s="4" t="inlineStr">
        <is>
          <t>28 documents in one row: the handbook, 25 state addenda, the benefits booklet and GovDocs — served to every US hire regardless of work state</t>
        </is>
      </c>
    </row>
    <row r="30">
      <c r="A30" s="3" t="inlineStr">
        <is>
          <t>US state-conditional rows</t>
        </is>
      </c>
      <c r="B30" s="4" t="inlineStr">
        <is>
          <t>5 exist (CA, NJ, TX, MA, NY), which proves conditionality is possible in the same process</t>
        </is>
      </c>
    </row>
    <row r="31">
      <c r="A31" s="3" t="inlineStr"/>
      <c r="B31" s="4" t="inlineStr"/>
    </row>
    <row r="32">
      <c r="A32" s="5" t="inlineStr">
        <is>
          <t>READING THIS TAB</t>
        </is>
      </c>
      <c r="B32" s="6" t="inlineStr"/>
    </row>
    <row r="33">
      <c r="A33" s="3" t="inlineStr">
        <is>
          <t>Why the counts matter</t>
        </is>
      </c>
      <c r="B33" s="4" t="inlineStr">
        <is>
          <t>The mockup shows a six-item list that takes about ten minutes. If the real pre-Day 1 pack is closer to the current state, the screen is a different design problem — and Poland, not the US, is the one to draw.</t>
        </is>
      </c>
    </row>
    <row r="34">
      <c r="A34" s="3" t="inlineStr">
        <is>
          <t>What is genuinely settled</t>
        </is>
      </c>
      <c r="B34" s="4" t="inlineStr">
        <is>
          <t>The global core six, the one-global-notice-plus-country-addendum pattern for the DPN and AUP, and that the handbook is reference rather than an acknowledgement.</t>
        </is>
      </c>
    </row>
    <row r="35">
      <c r="A35" s="3" t="inlineStr">
        <is>
          <t>What is not</t>
        </is>
      </c>
      <c r="B35" s="4" t="inlineStr">
        <is>
          <t>Which of the 357 titles survive, which move past Day 1, and which are retired. That decision is the single biggest open item in this planner.</t>
        </is>
      </c>
    </row>
  </sheetData>
  <autoFilter ref="A4:H22"/>
  <mergeCells count="13">
    <mergeCell ref="B30:F30"/>
    <mergeCell ref="B29:F29"/>
    <mergeCell ref="B24:F24"/>
    <mergeCell ref="B34:F34"/>
    <mergeCell ref="B33:F33"/>
    <mergeCell ref="A2:H2"/>
    <mergeCell ref="B25:F25"/>
    <mergeCell ref="B28:F28"/>
    <mergeCell ref="B31:F31"/>
    <mergeCell ref="B32:F32"/>
    <mergeCell ref="B26:F26"/>
    <mergeCell ref="B27:F27"/>
    <mergeCell ref="B35:F3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10" customWidth="1" min="2" max="2"/>
  </cols>
  <sheetData>
    <row r="1">
      <c r="A1" s="7" t="inlineStr">
        <is>
          <t>Consideration — handbook guide and Inside Equinix</t>
        </is>
      </c>
    </row>
    <row r="2">
      <c r="A2" s="2" t="inlineStr">
        <is>
          <t>Deliberately empty. This is the next tab to build, once the alignment above has been reviewed.</t>
        </is>
      </c>
    </row>
    <row r="4">
      <c r="A4" s="3" t="inlineStr"/>
      <c r="B4" s="4" t="inlineStr"/>
    </row>
    <row r="5">
      <c r="A5" s="5" t="inlineStr">
        <is>
          <t>WHAT ALREADY HAS AN ANSWER</t>
        </is>
      </c>
      <c r="B5" s="6" t="inlineStr"/>
    </row>
    <row r="6">
      <c r="A6" s="3" t="inlineStr">
        <is>
          <t>Inside Equinix placement</t>
        </is>
      </c>
      <c r="B6" s="4" t="inlineStr">
        <is>
          <t>PRD v1.4 now specifies it: a carousel at the top of the portal rotating chapters 01-06, plus a right-hand bar link under Additional Reading. No tasks — access and the carousel only. The same content also appears in New Hire Orientation and in the manager's weekly task list. See G-09.</t>
        </is>
      </c>
    </row>
    <row r="7">
      <c r="A7" s="3" t="inlineStr">
        <is>
          <t>Company factsheet</t>
        </is>
      </c>
      <c r="B7" s="4" t="inlineStr">
        <is>
          <t>Single global object, English only, no acknowledgement — settled. The open question is whether it belongs pre-Day 1 at all or on Day 1.</t>
        </is>
      </c>
    </row>
    <row r="8">
      <c r="A8" s="3" t="inlineStr">
        <is>
          <t>Employee handbook</t>
        </is>
      </c>
      <c r="B8" s="4" t="inlineStr">
        <is>
          <t>Country-conditional reference, no acknowledgement, available Pre-Day 1 through Day 30. Key policies acknowledged separately as universal tasks.</t>
        </is>
      </c>
    </row>
    <row r="9">
      <c r="A9" s="3" t="inlineStr">
        <is>
          <t>Manager Companion Guide</t>
        </is>
      </c>
      <c r="B9" s="4" t="inlineStr">
        <is>
          <t>Referenced in PRD v1.4 as the content linked from the manager's weekly task list. Its relationship to the Manager Onboarding Guide is still unresolved (M-15).</t>
        </is>
      </c>
    </row>
    <row r="10">
      <c r="A10" s="3" t="inlineStr"/>
      <c r="B10" s="4" t="inlineStr"/>
    </row>
    <row r="11">
      <c r="A11" s="5" t="inlineStr">
        <is>
          <t>WHAT THIS TAB WILL NEED TO WORK OUT</t>
        </is>
      </c>
      <c r="B11" s="6" t="inlineStr"/>
    </row>
    <row r="12">
      <c r="A12" s="3" t="inlineStr">
        <is>
          <t>Sequencing</t>
        </is>
      </c>
      <c r="B12" s="4" t="inlineStr">
        <is>
          <t>Which of the six chapters a new hire is ready to absorb, and when. The PRD asks for a rotating carousel; the sequencing question is whether rotation is the right model or whether chapters should be released against the countdown.</t>
        </is>
      </c>
    </row>
    <row r="13">
      <c r="A13" s="3" t="inlineStr">
        <is>
          <t>Weight</t>
        </is>
      </c>
      <c r="B13" s="4" t="inlineStr">
        <is>
          <t>Culture content competes with compliance tasks for the same pre-Day 1 window. The portal currently opens with a task list; a carousel above it changes what the screen is for.</t>
        </is>
      </c>
    </row>
    <row r="14">
      <c r="A14" s="3" t="inlineStr">
        <is>
          <t>Duplication</t>
        </is>
      </c>
      <c r="B14" s="4" t="inlineStr">
        <is>
          <t>The same content appears in three places — the portal, orientation and the manager's list. Worth deciding whether that is reinforcement or repetition.</t>
        </is>
      </c>
    </row>
    <row r="15">
      <c r="A15" s="3" t="inlineStr">
        <is>
          <t>Handbook vs guide</t>
        </is>
      </c>
      <c r="B15" s="4" t="inlineStr">
        <is>
          <t>The country handbook is reference material with statutory content; Inside Equinix is culture. They are currently both 'reading material' in the mockup, which flattens a real difference.</t>
        </is>
      </c>
    </row>
    <row r="16">
      <c r="A16" s="3" t="inlineStr">
        <is>
          <t>Measurement</t>
        </is>
      </c>
      <c r="B16" s="4" t="inlineStr">
        <is>
          <t>Nothing is tracked, by design. Worth confirming that is still wanted, given the platform natively supports optional to-dos with no due date (A-36).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2026-08-25T16:14:30Z</dcterms:created>
  <dcterms:modified xmlns:dcterms="http://purl.org/dc/terms/" xmlns:xsi="http://www.w3.org/2001/XMLSchema-instance" xsi:type="dcterms:W3CDTF">2026-08-25T16:14:31Z</dcterms:modified>
</cp:coreProperties>
</file>